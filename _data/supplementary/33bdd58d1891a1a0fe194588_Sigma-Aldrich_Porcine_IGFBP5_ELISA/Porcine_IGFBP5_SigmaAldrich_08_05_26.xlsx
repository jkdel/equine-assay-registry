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IGFBP5/"/>
    </mc:Choice>
  </mc:AlternateContent>
  <xr:revisionPtr revIDLastSave="137" documentId="11_DFB9698C039DF121E04E3A6F432CB7FA45B84780" xr6:coauthVersionLast="47" xr6:coauthVersionMax="47" xr10:uidLastSave="{42EDB619-351C-408B-BEC7-D9C628B5CD9E}"/>
  <bookViews>
    <workbookView xWindow="-120" yWindow="-120" windowWidth="29040" windowHeight="15720" activeTab="3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4" i="4" l="1"/>
  <c r="K105" i="4"/>
  <c r="K106" i="4"/>
  <c r="K103" i="4"/>
  <c r="K96" i="4"/>
  <c r="K97" i="4"/>
  <c r="K95" i="4"/>
  <c r="J97" i="4"/>
  <c r="J96" i="4"/>
  <c r="J95" i="4"/>
  <c r="J94" i="4"/>
  <c r="K94" i="4" s="1"/>
</calcChain>
</file>

<file path=xl/sharedStrings.xml><?xml version="1.0" encoding="utf-8"?>
<sst xmlns="http://schemas.openxmlformats.org/spreadsheetml/2006/main" count="740" uniqueCount="232">
  <si>
    <t>Measurement results</t>
  </si>
  <si>
    <t>Porcine_IGFBP5_SigmaAldrich_08_05_26 (2).skax</t>
  </si>
  <si>
    <t>2026-08-05T15:21:47-05:00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</si>
  <si>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</si>
  <si>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</si>
  <si>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</si>
  <si>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</si>
  <si>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</si>
  <si>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</si>
  <si>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</si>
  <si>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</si>
  <si>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</si>
  <si>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</si>
  <si>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</si>
  <si>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</si>
  <si>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</si>
  <si>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</si>
  <si>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</si>
  <si>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Un0001</t>
  </si>
  <si>
    <t>Un0009</t>
  </si>
  <si>
    <t>Std60001</t>
  </si>
  <si>
    <t>Un0002</t>
  </si>
  <si>
    <t>Un0010</t>
  </si>
  <si>
    <t>Std50001</t>
  </si>
  <si>
    <t>Un0003</t>
  </si>
  <si>
    <t>Un0011</t>
  </si>
  <si>
    <t>Std40001</t>
  </si>
  <si>
    <t>Un0004</t>
  </si>
  <si>
    <t>Un0012</t>
  </si>
  <si>
    <t>Std30001</t>
  </si>
  <si>
    <t>Un0005</t>
  </si>
  <si>
    <t>Un0013</t>
  </si>
  <si>
    <t>Std20001</t>
  </si>
  <si>
    <t>Un0006</t>
  </si>
  <si>
    <t>Un0014</t>
  </si>
  <si>
    <t>Std10001</t>
  </si>
  <si>
    <t>Un0007</t>
  </si>
  <si>
    <t>Un0015</t>
  </si>
  <si>
    <t>Blank1</t>
  </si>
  <si>
    <t>Un0008</t>
  </si>
  <si>
    <t>Un0016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</si>
  <si>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</si>
  <si>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</si>
  <si>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</si>
  <si>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</si>
  <si>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</si>
  <si>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</si>
  <si>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</si>
  <si>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5.16456 + ( (0.0605927 - 5.16456) / ( 1 + (x/75.6165)^1.21249)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</si>
  <si>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</si>
  <si>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</si>
  <si>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</si>
  <si>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</si>
  <si>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</si>
  <si>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</si>
  <si>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</si>
  <si>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</si>
  <si>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 [ng/ml]</t>
  </si>
  <si>
    <t>Original signal</t>
  </si>
  <si>
    <t>CV%</t>
  </si>
  <si>
    <t>Fitted signal</t>
  </si>
  <si>
    <t>Residual</t>
  </si>
  <si>
    <t>Average</t>
  </si>
  <si>
    <t>G01</t>
  </si>
  <si>
    <t>G02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</si>
  <si>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</si>
  <si>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</si>
  <si>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</si>
  <si>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</si>
  <si>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</si>
  <si>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</si>
  <si>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</si>
  <si>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</si>
  <si>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</si>
  <si>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</si>
  <si>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</si>
  <si>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</si>
  <si>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</si>
  <si>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</si>
  <si>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 xml:space="preserve"> &gt; Max</t>
  </si>
  <si>
    <t>Autoloading range A1 - M101</t>
  </si>
  <si>
    <t>Blank Subtraction 1</t>
  </si>
  <si>
    <t>Blank subtracted</t>
  </si>
  <si>
    <t>Autoloading range A1 - M31</t>
  </si>
  <si>
    <t>Standard Curve 2</t>
  </si>
  <si>
    <t>y = 5.11118 + ( (0.00720804 - 5.11118) / ( 1 + (x/75.6165)^1.21249)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</si>
  <si>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</si>
  <si>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</si>
  <si>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</si>
  <si>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</si>
  <si>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</si>
  <si>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</si>
  <si>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</si>
  <si>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</si>
  <si>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Porcine_IGFBP5_SigmaAldrich_8th trial_with differnt condition</t>
  </si>
  <si>
    <t>Sample incubation time 1.5 hours</t>
  </si>
  <si>
    <t>Det Ab Dilution 300 Times</t>
  </si>
  <si>
    <t>HRP Dilution 300 Times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</si>
  <si>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</si>
  <si>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</si>
  <si>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</si>
  <si>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</si>
  <si>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</si>
  <si>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</si>
  <si>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</si>
  <si>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</si>
  <si>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</si>
  <si>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</si>
  <si>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</si>
  <si>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</si>
  <si>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</si>
  <si>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</si>
  <si>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</si>
  <si>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</si>
  <si>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</si>
  <si>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</si>
  <si>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</si>
  <si>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</si>
  <si>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</si>
  <si>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</si>
  <si>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</si>
  <si>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</si>
  <si>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</si>
  <si>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</si>
  <si>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</si>
  <si>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</si>
  <si>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</si>
  <si>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</si>
  <si>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</si>
  <si>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</si>
  <si>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</si>
  <si>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</si>
  <si>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</si>
  <si>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</si>
  <si>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</si>
  <si>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</si>
  <si>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</si>
  <si>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</si>
  <si>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</si>
  <si>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</si>
  <si>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</si>
  <si>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</si>
  <si>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</si>
  <si>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</si>
  <si>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</si>
  <si>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</si>
  <si>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</si>
  <si>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</si>
  <si>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</si>
  <si>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</si>
  <si>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</si>
  <si>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</si>
  <si>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</si>
  <si>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</si>
  <si>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</si>
  <si>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</si>
  <si>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</si>
  <si>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</si>
  <si>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</si>
  <si>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</si>
  <si>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</si>
  <si>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</si>
  <si>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</si>
  <si>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</si>
  <si>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</si>
  <si>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</si>
  <si>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</si>
  <si>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</si>
  <si>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</si>
  <si>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</si>
  <si>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</si>
  <si>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</si>
  <si>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</si>
  <si>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</si>
  <si>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</si>
  <si>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Porcine_IGFBP5_SigmaAldrich_08_05_26 (2).skax started</t>
  </si>
  <si>
    <t>Temperature</t>
  </si>
  <si>
    <t>25.0°C</t>
  </si>
  <si>
    <t>2026-08-05T15:21:48-05:00</t>
  </si>
  <si>
    <t>Step Shake 1 started</t>
  </si>
  <si>
    <t>2026-08-05T15:22:11-05:00</t>
  </si>
  <si>
    <t>Step Shake 1 ended</t>
  </si>
  <si>
    <t>Step Absorbance 1 started</t>
  </si>
  <si>
    <t>2026-08-05T15:22:24-05:00</t>
  </si>
  <si>
    <t>25.1°C</t>
  </si>
  <si>
    <t>2026-08-05T15:22:28-05:00</t>
  </si>
  <si>
    <t>Step Absorbance 1 ended</t>
  </si>
  <si>
    <t>2026-08-05T15:22:34-05:00</t>
  </si>
  <si>
    <t>Session Porcine_IGFBP5_SigmaAldrich_08_05_26 (2).skax ended</t>
  </si>
  <si>
    <t>Plate template</t>
  </si>
  <si>
    <t>ANSI/SBS Standard, 96-well</t>
  </si>
  <si>
    <t>Group 1</t>
  </si>
  <si>
    <t>0.16384 ng/ml</t>
  </si>
  <si>
    <t>1:1</t>
  </si>
  <si>
    <t>0.4096 ng/ml</t>
  </si>
  <si>
    <t>1.024 ng/ml</t>
  </si>
  <si>
    <t>2.56 ng/ml</t>
  </si>
  <si>
    <t>6.4 ng/ml</t>
  </si>
  <si>
    <t>16 ng/ml</t>
  </si>
  <si>
    <t>40 ng/ml</t>
  </si>
  <si>
    <t>Std7 0.164</t>
  </si>
  <si>
    <t>Serum  2X</t>
  </si>
  <si>
    <t>Std6 0.410</t>
  </si>
  <si>
    <t>Serum  4X</t>
  </si>
  <si>
    <t>Std5 1.024</t>
  </si>
  <si>
    <t>Serum  8X</t>
  </si>
  <si>
    <t>Std4 2.560</t>
  </si>
  <si>
    <t>Serum  16X</t>
  </si>
  <si>
    <t>Std3 6.4</t>
  </si>
  <si>
    <t>Std2 16</t>
  </si>
  <si>
    <t>Std1 40</t>
  </si>
  <si>
    <t xml:space="preserve">4x Diluted sample used </t>
  </si>
  <si>
    <t>8x diluted sample used</t>
  </si>
  <si>
    <t>Dilution factor</t>
  </si>
  <si>
    <t>Measured</t>
  </si>
  <si>
    <t>Corrected</t>
  </si>
  <si>
    <t>Recovery (%)</t>
  </si>
  <si>
    <t>Expected</t>
  </si>
  <si>
    <t>Experimental</t>
  </si>
  <si>
    <t>Max</t>
  </si>
  <si>
    <t xml:space="preserve"> 8X is considered as a reliable dilution</t>
  </si>
  <si>
    <t>8x Diluted sample used</t>
  </si>
  <si>
    <t>Calculation of spike recovery</t>
  </si>
  <si>
    <t>Calculation of dilution linearity recovery</t>
  </si>
  <si>
    <t>Spike1 6</t>
  </si>
  <si>
    <t>Spike2 3</t>
  </si>
  <si>
    <t>Spike3 1.5</t>
  </si>
  <si>
    <t>Spike4 6</t>
  </si>
  <si>
    <t>Spike3  1.5(ng/mL)</t>
  </si>
  <si>
    <t>Spike2  3(ng/mL)</t>
  </si>
  <si>
    <t>Spike1  6(ng/mL)</t>
  </si>
  <si>
    <t>Spike4  6(ng/mL)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</si>
</sst>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"/>
    <numFmt numFmtId="166" formatCode="0.00000"/>
    <numFmt numFmtId="167" formatCode="0.000000"/>
    <numFmt numFmtId="168" formatCode="0.00000000"/>
    <numFmt numFmtId="169" formatCode="0.000000000"/>
  </numFmts>
  <fonts count="2" x14ac:knownFonts="1">
    <font>
      <sz val="10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5" borderId="5" xfId="0" applyFill="1" applyBorder="1"/>
    <xf numFmtId="0" fontId="0" fillId="6" borderId="5" xfId="0" applyFill="1" applyBorder="1"/>
    <xf numFmtId="0" fontId="0" fillId="5" borderId="0" xfId="0" applyFill="1"/>
    <xf numFmtId="0" fontId="0" fillId="6" borderId="0" xfId="0" applyFill="1"/>
    <xf numFmtId="167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168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0" fontId="0" fillId="7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1" fillId="8" borderId="6" xfId="0" applyFont="1" applyFill="1" applyBorder="1"/>
    <xf numFmtId="0" fontId="0" fillId="8" borderId="0" xfId="0" applyFill="1"/>
    <xf numFmtId="0" fontId="1" fillId="8" borderId="6" xfId="0" applyFont="1" applyFill="1" applyBorder="1" applyAlignment="1">
      <alignment horizontal="center"/>
    </xf>
    <xf numFmtId="169" fontId="0" fillId="0" borderId="5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11</xdr:col>
      <xdr:colOff>53975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8</xdr:col>
      <xdr:colOff>47625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P32"/>
  <sheetViews>
    <sheetView topLeftCell="A7" workbookViewId="0">
      <selection activeCell="P33" sqref="P33"/>
    </sheetView>
  </sheetViews>
  <sheetFormatPr defaultColWidth="9.140625" defaultRowHeight="15" customHeight="1" x14ac:dyDescent="0.2"/>
  <cols>
    <col min="1" max="1" width="11.140625" customWidth="1"/>
    <col min="2" max="5" width="11.42578125" customWidth="1"/>
    <col min="6" max="6" width="3.140625" customWidth="1"/>
    <col min="7" max="7" width="16.85546875" customWidth="1"/>
    <col min="8" max="10" width="3.140625" customWidth="1"/>
    <col min="11" max="13" width="4.140625" customWidth="1"/>
  </cols>
  <sheetData>
    <row r="1" spans="1:16" ht="15" customHeight="1" x14ac:dyDescent="0.2">
      <c r="A1" t="s">
        <v>0</v>
      </c>
    </row>
    <row r="2" spans="1:16" ht="15" customHeight="1" x14ac:dyDescent="0.2">
      <c r="A2" t="s">
        <v>1</v>
      </c>
    </row>
    <row r="3" spans="1:16" ht="15" customHeight="1" x14ac:dyDescent="0.2">
      <c r="A3" t="s">
        <v>2</v>
      </c>
    </row>
    <row r="4" spans="1:16" ht="15" customHeight="1" x14ac:dyDescent="0.2">
      <c r="A4" t="s">
        <v>3</v>
      </c>
    </row>
    <row r="5" spans="1:16" ht="15" customHeight="1" x14ac:dyDescent="0.2">
      <c r="A5" t="s">
        <v>4</v>
      </c>
    </row>
    <row r="6" spans="1:16" ht="15" customHeight="1" x14ac:dyDescent="0.2">
      <c r="A6" t="s">
        <v>5</v>
      </c>
    </row>
    <row r="7" spans="1:16" ht="15" customHeight="1" x14ac:dyDescent="0.2">
      <c r="A7" t="s">
        <v>3</v>
      </c>
    </row>
    <row r="8" spans="1:16" ht="15" customHeight="1" x14ac:dyDescent="0.2">
      <c r="A8" t="s">
        <v>6</v>
      </c>
    </row>
    <row r="9" spans="1:16" ht="15" customHeight="1" x14ac:dyDescent="0.2">
      <c r="A9" t="s">
        <v>3</v>
      </c>
    </row>
    <row r="10" spans="1:16" ht="15" customHeight="1" x14ac:dyDescent="0.2">
      <c r="A10" s="22" t="s">
        <v>7</v>
      </c>
      <c r="B10" s="30">
        <v>1</v>
      </c>
      <c r="C10" s="30">
        <v>2</v>
      </c>
      <c r="D10" s="30">
        <v>3</v>
      </c>
      <c r="E10" s="30">
        <v>4</v>
      </c>
      <c r="F10" s="1"/>
      <c r="G10" s="1"/>
      <c r="H10" s="1"/>
      <c r="I10" s="1"/>
      <c r="J10" s="1"/>
      <c r="K10" s="1"/>
      <c r="L10" s="1"/>
      <c r="M10" s="1"/>
    </row>
    <row r="11" spans="1:16" ht="15" customHeight="1" x14ac:dyDescent="0.2">
      <c r="A11" s="22" t="s">
        <v>8</v>
      </c>
      <c r="B11" s="28">
        <v>5.7000000000000002E-2</v>
      </c>
      <c r="C11" s="28">
        <v>7.0999999999999994E-2</v>
      </c>
      <c r="D11" s="28">
        <v>2.351</v>
      </c>
      <c r="E11" s="28">
        <v>2.1301000000000001</v>
      </c>
      <c r="P11" s="4"/>
    </row>
    <row r="12" spans="1:16" ht="15" customHeight="1" x14ac:dyDescent="0.2">
      <c r="A12" s="22" t="s">
        <v>9</v>
      </c>
      <c r="B12" s="28">
        <v>6.8000000000000005E-2</v>
      </c>
      <c r="C12" s="28">
        <v>6.5799999999999997E-2</v>
      </c>
      <c r="D12" s="28">
        <v>1.6850000000000001</v>
      </c>
      <c r="E12" s="28">
        <v>1.6545000000000001</v>
      </c>
      <c r="P12" s="4"/>
    </row>
    <row r="13" spans="1:16" ht="15" customHeight="1" x14ac:dyDescent="0.2">
      <c r="A13" s="22" t="s">
        <v>10</v>
      </c>
      <c r="B13" s="28">
        <v>8.9099999999999999E-2</v>
      </c>
      <c r="C13" s="28">
        <v>8.77E-2</v>
      </c>
      <c r="D13" s="28">
        <v>0.83840000000000003</v>
      </c>
      <c r="E13" s="28">
        <v>0.82640000000000002</v>
      </c>
      <c r="P13" s="4"/>
    </row>
    <row r="14" spans="1:16" ht="15" customHeight="1" x14ac:dyDescent="0.2">
      <c r="A14" s="22" t="s">
        <v>11</v>
      </c>
      <c r="B14" s="28">
        <v>0.15010000000000001</v>
      </c>
      <c r="C14" s="28">
        <v>0.14610000000000001</v>
      </c>
      <c r="D14" s="28">
        <v>0.36940000000000001</v>
      </c>
      <c r="E14" s="28">
        <v>0.4123</v>
      </c>
      <c r="P14" s="4"/>
    </row>
    <row r="15" spans="1:16" ht="15" customHeight="1" x14ac:dyDescent="0.2">
      <c r="A15" s="22" t="s">
        <v>12</v>
      </c>
      <c r="B15" s="28">
        <v>0.2994</v>
      </c>
      <c r="C15" s="28">
        <v>0.30159999999999998</v>
      </c>
      <c r="D15" s="28">
        <v>1.8299000000000001</v>
      </c>
      <c r="E15" s="28">
        <v>1.7963</v>
      </c>
      <c r="P15" s="4"/>
    </row>
    <row r="16" spans="1:16" ht="15" customHeight="1" x14ac:dyDescent="0.2">
      <c r="A16" s="22" t="s">
        <v>13</v>
      </c>
      <c r="B16" s="28">
        <v>0.74750000000000005</v>
      </c>
      <c r="C16" s="28">
        <v>0.72330000000000005</v>
      </c>
      <c r="D16" s="28">
        <v>1.7587999999999999</v>
      </c>
      <c r="E16" s="28">
        <v>1.7304999999999999</v>
      </c>
      <c r="P16" s="4"/>
    </row>
    <row r="17" spans="1:16" ht="15" customHeight="1" x14ac:dyDescent="0.2">
      <c r="A17" s="22" t="s">
        <v>14</v>
      </c>
      <c r="B17" s="28">
        <v>1.6756</v>
      </c>
      <c r="C17" s="28">
        <v>1.6713</v>
      </c>
      <c r="D17" s="28">
        <v>1.7764</v>
      </c>
      <c r="E17" s="28">
        <v>1.7662</v>
      </c>
      <c r="P17" s="4"/>
    </row>
    <row r="18" spans="1:16" ht="15" customHeight="1" x14ac:dyDescent="0.2">
      <c r="A18" s="22" t="s">
        <v>15</v>
      </c>
      <c r="B18" s="28">
        <v>5.2499999999999998E-2</v>
      </c>
      <c r="C18" s="28">
        <v>5.4300000000000001E-2</v>
      </c>
      <c r="D18" s="28">
        <v>1.0304</v>
      </c>
      <c r="E18" s="28">
        <v>1.016</v>
      </c>
      <c r="P18" s="4"/>
    </row>
    <row r="20" spans="1:16" ht="15" customHeight="1" x14ac:dyDescent="0.2">
      <c r="A20" s="22" t="s">
        <v>16</v>
      </c>
      <c r="B20" s="30">
        <v>1</v>
      </c>
      <c r="C20" s="30">
        <v>2</v>
      </c>
      <c r="D20" s="30">
        <v>3</v>
      </c>
      <c r="E20" s="30">
        <v>4</v>
      </c>
      <c r="F20" s="1"/>
      <c r="G20" s="1"/>
      <c r="H20" s="1"/>
      <c r="I20" s="1"/>
      <c r="J20" s="1"/>
      <c r="K20" s="1"/>
      <c r="L20" s="1"/>
      <c r="M20" s="1"/>
    </row>
    <row r="21" spans="1:16" ht="15" customHeight="1" x14ac:dyDescent="0.2">
      <c r="A21" s="22" t="s">
        <v>8</v>
      </c>
      <c r="B21" s="22" t="s">
        <v>200</v>
      </c>
      <c r="C21" s="22" t="s">
        <v>200</v>
      </c>
      <c r="D21" s="22" t="s">
        <v>201</v>
      </c>
      <c r="E21" s="22" t="s">
        <v>201</v>
      </c>
    </row>
    <row r="22" spans="1:16" ht="15" customHeight="1" x14ac:dyDescent="0.2">
      <c r="A22" s="22" t="s">
        <v>9</v>
      </c>
      <c r="B22" s="22" t="s">
        <v>202</v>
      </c>
      <c r="C22" s="22" t="s">
        <v>202</v>
      </c>
      <c r="D22" s="22" t="s">
        <v>203</v>
      </c>
      <c r="E22" s="22" t="s">
        <v>203</v>
      </c>
    </row>
    <row r="23" spans="1:16" ht="15" customHeight="1" x14ac:dyDescent="0.2">
      <c r="A23" s="22" t="s">
        <v>10</v>
      </c>
      <c r="B23" s="22" t="s">
        <v>204</v>
      </c>
      <c r="C23" s="22" t="s">
        <v>204</v>
      </c>
      <c r="D23" s="22" t="s">
        <v>205</v>
      </c>
      <c r="E23" s="22" t="s">
        <v>205</v>
      </c>
    </row>
    <row r="24" spans="1:16" ht="15" customHeight="1" x14ac:dyDescent="0.2">
      <c r="A24" s="22" t="s">
        <v>11</v>
      </c>
      <c r="B24" s="22" t="s">
        <v>206</v>
      </c>
      <c r="C24" s="22" t="s">
        <v>206</v>
      </c>
      <c r="D24" s="22" t="s">
        <v>207</v>
      </c>
      <c r="E24" s="22" t="s">
        <v>207</v>
      </c>
    </row>
    <row r="25" spans="1:16" ht="12.75" x14ac:dyDescent="0.2">
      <c r="A25" s="22" t="s">
        <v>12</v>
      </c>
      <c r="B25" s="22" t="s">
        <v>208</v>
      </c>
      <c r="C25" s="22" t="s">
        <v>208</v>
      </c>
      <c r="D25" s="23" t="s">
        <v>224</v>
      </c>
      <c r="E25" s="23" t="s">
        <v>224</v>
      </c>
    </row>
    <row r="26" spans="1:16" ht="12.75" x14ac:dyDescent="0.2">
      <c r="A26" s="22" t="s">
        <v>13</v>
      </c>
      <c r="B26" s="22" t="s">
        <v>209</v>
      </c>
      <c r="C26" s="22" t="s">
        <v>209</v>
      </c>
      <c r="D26" s="23" t="s">
        <v>225</v>
      </c>
      <c r="E26" s="23" t="s">
        <v>225</v>
      </c>
    </row>
    <row r="27" spans="1:16" ht="12.75" x14ac:dyDescent="0.2">
      <c r="A27" s="22" t="s">
        <v>14</v>
      </c>
      <c r="B27" s="22" t="s">
        <v>210</v>
      </c>
      <c r="C27" s="22" t="s">
        <v>210</v>
      </c>
      <c r="D27" s="23" t="s">
        <v>226</v>
      </c>
      <c r="E27" s="23" t="s">
        <v>226</v>
      </c>
    </row>
    <row r="28" spans="1:16" ht="12.75" x14ac:dyDescent="0.2">
      <c r="A28" s="22" t="s">
        <v>15</v>
      </c>
      <c r="B28" s="22" t="s">
        <v>38</v>
      </c>
      <c r="C28" s="22" t="s">
        <v>38</v>
      </c>
      <c r="D28" s="24" t="s">
        <v>227</v>
      </c>
      <c r="E28" s="24" t="s">
        <v>227</v>
      </c>
    </row>
    <row r="30" spans="1:16" ht="12.75" x14ac:dyDescent="0.2">
      <c r="A30" t="s">
        <v>41</v>
      </c>
    </row>
    <row r="31" spans="1:16" ht="15" customHeight="1" x14ac:dyDescent="0.2">
      <c r="D31" s="25"/>
      <c r="E31" s="33" t="s">
        <v>211</v>
      </c>
      <c r="F31" s="33"/>
      <c r="G31" s="33"/>
    </row>
    <row r="32" spans="1:16" ht="15" customHeight="1" x14ac:dyDescent="0.2">
      <c r="D32" s="26"/>
      <c r="E32" s="34" t="s">
        <v>212</v>
      </c>
      <c r="F32" s="34"/>
      <c r="G32" s="34"/>
    </row>
  </sheetData>
  <mergeCells count="2">
    <mergeCell ref="E31:G31"/>
    <mergeCell ref="E32:G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4"/>
  <sheetViews>
    <sheetView topLeftCell="A83" workbookViewId="0">
      <selection activeCell="M100" sqref="M100"/>
    </sheetView>
  </sheetViews>
  <sheetFormatPr defaultColWidth="9.140625" defaultRowHeight="15" customHeight="1" x14ac:dyDescent="0.2"/>
  <cols>
    <col min="1" max="1" width="12.42578125" customWidth="1"/>
    <col min="2" max="2" width="11.28515625" customWidth="1"/>
    <col min="3" max="3" width="13.5703125" customWidth="1"/>
    <col min="4" max="4" width="14.42578125" customWidth="1"/>
    <col min="5" max="5" width="10.140625" customWidth="1"/>
    <col min="6" max="6" width="12.5703125" customWidth="1"/>
    <col min="7" max="7" width="14.1406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42</v>
      </c>
    </row>
    <row r="7" spans="1:1" ht="15" customHeight="1" x14ac:dyDescent="0.2">
      <c r="A7" t="s">
        <v>43</v>
      </c>
    </row>
    <row r="8" spans="1:1" ht="15" customHeight="1" x14ac:dyDescent="0.2">
      <c r="A8" t="s">
        <v>44</v>
      </c>
    </row>
    <row r="9" spans="1:1" ht="15" customHeight="1" x14ac:dyDescent="0.2">
      <c r="A9" t="s">
        <v>45</v>
      </c>
    </row>
    <row r="10" spans="1:1" ht="15" customHeight="1" x14ac:dyDescent="0.2">
      <c r="A10" t="s">
        <v>5</v>
      </c>
    </row>
    <row r="11" spans="1:1" ht="15" customHeight="1" x14ac:dyDescent="0.2">
      <c r="A11" t="s">
        <v>46</v>
      </c>
    </row>
    <row r="12" spans="1:1" ht="15" customHeight="1" x14ac:dyDescent="0.2">
      <c r="A12" t="s">
        <v>47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spans="1:7" ht="12.75" x14ac:dyDescent="0.2"/>
    <row r="34" spans="1:7" ht="12.75" x14ac:dyDescent="0.2"/>
    <row r="35" spans="1:7" ht="12.75" x14ac:dyDescent="0.2"/>
    <row r="36" spans="1:7" ht="12.75" x14ac:dyDescent="0.2">
      <c r="A36" t="s">
        <v>48</v>
      </c>
    </row>
    <row r="37" spans="1:7" ht="12.75" x14ac:dyDescent="0.2"/>
    <row r="38" spans="1:7" ht="12.75" x14ac:dyDescent="0.2">
      <c r="A38" t="s">
        <v>49</v>
      </c>
    </row>
    <row r="39" spans="1:7" ht="12.75" x14ac:dyDescent="0.2">
      <c r="A39" t="s">
        <v>50</v>
      </c>
    </row>
    <row r="40" spans="1:7" ht="12.75" x14ac:dyDescent="0.2">
      <c r="A40" t="s">
        <v>51</v>
      </c>
      <c r="B40" s="2">
        <v>6.0592699999999999E-2</v>
      </c>
    </row>
    <row r="41" spans="1:7" ht="12.75" x14ac:dyDescent="0.2">
      <c r="A41" t="s">
        <v>52</v>
      </c>
      <c r="B41" s="3">
        <v>1.2124900000000001</v>
      </c>
    </row>
    <row r="42" spans="1:7" ht="12.75" x14ac:dyDescent="0.2">
      <c r="A42" t="s">
        <v>53</v>
      </c>
      <c r="B42" s="4">
        <v>75.616500000000002</v>
      </c>
    </row>
    <row r="43" spans="1:7" ht="12.75" x14ac:dyDescent="0.2">
      <c r="A43" t="s">
        <v>54</v>
      </c>
      <c r="B43" s="3">
        <v>5.1645599999999998</v>
      </c>
    </row>
    <row r="44" spans="1:7" ht="12.75" x14ac:dyDescent="0.2"/>
    <row r="45" spans="1:7" ht="12.75" x14ac:dyDescent="0.2">
      <c r="A45" t="s">
        <v>55</v>
      </c>
    </row>
    <row r="46" spans="1:7" ht="12.75" x14ac:dyDescent="0.2">
      <c r="A46" t="s">
        <v>3</v>
      </c>
    </row>
    <row r="47" spans="1:7" ht="12.75" x14ac:dyDescent="0.2">
      <c r="A47" t="s">
        <v>56</v>
      </c>
      <c r="B47" t="s">
        <v>16</v>
      </c>
      <c r="C47" t="s">
        <v>57</v>
      </c>
      <c r="D47" t="s">
        <v>58</v>
      </c>
      <c r="E47" t="s">
        <v>59</v>
      </c>
      <c r="F47" t="s">
        <v>60</v>
      </c>
      <c r="G47" t="s">
        <v>61</v>
      </c>
    </row>
    <row r="48" spans="1:7" ht="12.75" x14ac:dyDescent="0.2">
      <c r="A48" t="s">
        <v>62</v>
      </c>
      <c r="B48" t="s">
        <v>35</v>
      </c>
      <c r="C48" s="4">
        <v>40</v>
      </c>
      <c r="D48" s="3">
        <v>1.67347</v>
      </c>
      <c r="E48" s="5">
        <v>0.18169199999999999</v>
      </c>
      <c r="F48" s="3">
        <v>1.6735599999999999</v>
      </c>
      <c r="G48">
        <v>-9.4210100000000001E-5</v>
      </c>
    </row>
    <row r="49" spans="1:7" ht="12.75" x14ac:dyDescent="0.2">
      <c r="A49" t="s">
        <v>63</v>
      </c>
      <c r="B49" t="s">
        <v>35</v>
      </c>
      <c r="C49" s="4">
        <v>40</v>
      </c>
      <c r="D49" s="3">
        <v>1.6756200000000001</v>
      </c>
      <c r="F49" s="3">
        <v>1.6735599999999999</v>
      </c>
      <c r="G49" s="6">
        <v>2.05579E-3</v>
      </c>
    </row>
    <row r="50" spans="1:7" ht="12.75" x14ac:dyDescent="0.2">
      <c r="A50" t="s">
        <v>64</v>
      </c>
      <c r="B50" t="s">
        <v>35</v>
      </c>
      <c r="C50" s="4">
        <v>40</v>
      </c>
      <c r="D50" s="3">
        <v>1.6713199999999999</v>
      </c>
      <c r="F50" s="3">
        <v>1.6735599999999999</v>
      </c>
      <c r="G50" s="6">
        <v>-2.24421E-3</v>
      </c>
    </row>
    <row r="51" spans="1:7" ht="12.75" x14ac:dyDescent="0.2">
      <c r="A51" t="s">
        <v>62</v>
      </c>
      <c r="B51" t="s">
        <v>32</v>
      </c>
      <c r="C51" s="4">
        <v>16</v>
      </c>
      <c r="D51" s="5">
        <v>0.73540399999999995</v>
      </c>
      <c r="E51" s="3">
        <v>2.32361</v>
      </c>
      <c r="F51" s="5">
        <v>0.734483</v>
      </c>
      <c r="G51" s="7">
        <v>9.2133500000000001E-4</v>
      </c>
    </row>
    <row r="52" spans="1:7" ht="12.75" x14ac:dyDescent="0.2">
      <c r="A52" t="s">
        <v>65</v>
      </c>
      <c r="B52" t="s">
        <v>32</v>
      </c>
      <c r="C52" s="4">
        <v>16</v>
      </c>
      <c r="D52" s="5">
        <v>0.74748700000000001</v>
      </c>
      <c r="F52" s="5">
        <v>0.734483</v>
      </c>
      <c r="G52" s="2">
        <v>1.30043E-2</v>
      </c>
    </row>
    <row r="53" spans="1:7" ht="12.75" x14ac:dyDescent="0.2">
      <c r="A53" t="s">
        <v>66</v>
      </c>
      <c r="B53" t="s">
        <v>32</v>
      </c>
      <c r="C53" s="4">
        <v>16</v>
      </c>
      <c r="D53" s="5">
        <v>0.72332099999999999</v>
      </c>
      <c r="F53" s="5">
        <v>0.734483</v>
      </c>
      <c r="G53" s="2">
        <v>-1.11617E-2</v>
      </c>
    </row>
    <row r="54" spans="1:7" ht="12.75" x14ac:dyDescent="0.2">
      <c r="A54" t="s">
        <v>62</v>
      </c>
      <c r="B54" t="s">
        <v>29</v>
      </c>
      <c r="C54" s="3">
        <v>6.4</v>
      </c>
      <c r="D54" s="5">
        <v>0.300543</v>
      </c>
      <c r="E54" s="5">
        <v>0.51949000000000001</v>
      </c>
      <c r="F54" s="5">
        <v>0.30401600000000001</v>
      </c>
      <c r="G54" s="6">
        <v>-3.4734200000000001E-3</v>
      </c>
    </row>
    <row r="55" spans="1:7" ht="12.75" x14ac:dyDescent="0.2">
      <c r="A55" t="s">
        <v>67</v>
      </c>
      <c r="B55" t="s">
        <v>29</v>
      </c>
      <c r="C55" s="3">
        <v>6.4</v>
      </c>
      <c r="D55" s="5">
        <v>0.29943900000000001</v>
      </c>
      <c r="F55" s="5">
        <v>0.30401600000000001</v>
      </c>
      <c r="G55" s="6">
        <v>-4.5774199999999996E-3</v>
      </c>
    </row>
    <row r="56" spans="1:7" ht="12.75" x14ac:dyDescent="0.2">
      <c r="A56" t="s">
        <v>68</v>
      </c>
      <c r="B56" t="s">
        <v>29</v>
      </c>
      <c r="C56" s="3">
        <v>6.4</v>
      </c>
      <c r="D56" s="5">
        <v>0.301647</v>
      </c>
      <c r="F56" s="5">
        <v>0.30401600000000001</v>
      </c>
      <c r="G56" s="6">
        <v>-2.3694200000000001E-3</v>
      </c>
    </row>
    <row r="57" spans="1:7" ht="12.75" x14ac:dyDescent="0.2">
      <c r="A57" t="s">
        <v>62</v>
      </c>
      <c r="B57" t="s">
        <v>26</v>
      </c>
      <c r="C57" s="3">
        <v>2.56</v>
      </c>
      <c r="D57" s="5">
        <v>0.14813000000000001</v>
      </c>
      <c r="E57" s="3">
        <v>1.90751</v>
      </c>
      <c r="F57" s="5">
        <v>0.14338400000000001</v>
      </c>
      <c r="G57" s="6">
        <v>4.7461400000000003E-3</v>
      </c>
    </row>
    <row r="58" spans="1:7" ht="12.75" x14ac:dyDescent="0.2">
      <c r="A58" t="s">
        <v>69</v>
      </c>
      <c r="B58" t="s">
        <v>26</v>
      </c>
      <c r="C58" s="3">
        <v>2.56</v>
      </c>
      <c r="D58" s="5">
        <v>0.15012800000000001</v>
      </c>
      <c r="F58" s="5">
        <v>0.14338400000000001</v>
      </c>
      <c r="G58" s="6">
        <v>6.74414E-3</v>
      </c>
    </row>
    <row r="59" spans="1:7" ht="12.75" x14ac:dyDescent="0.2">
      <c r="A59" t="s">
        <v>70</v>
      </c>
      <c r="B59" t="s">
        <v>26</v>
      </c>
      <c r="C59" s="3">
        <v>2.56</v>
      </c>
      <c r="D59" s="5">
        <v>0.14613200000000001</v>
      </c>
      <c r="F59" s="5">
        <v>0.14338400000000001</v>
      </c>
      <c r="G59" s="6">
        <v>2.74814E-3</v>
      </c>
    </row>
    <row r="60" spans="1:7" ht="12.75" x14ac:dyDescent="0.2">
      <c r="A60" t="s">
        <v>62</v>
      </c>
      <c r="B60" t="s">
        <v>23</v>
      </c>
      <c r="C60" s="3">
        <v>1.024</v>
      </c>
      <c r="D60" s="2">
        <v>8.8430300000000003E-2</v>
      </c>
      <c r="E60" s="3">
        <v>1.1396999999999999</v>
      </c>
      <c r="F60" s="2">
        <v>8.8150000000000006E-2</v>
      </c>
      <c r="G60" s="7">
        <v>2.8029500000000001E-4</v>
      </c>
    </row>
    <row r="61" spans="1:7" ht="12.75" x14ac:dyDescent="0.2">
      <c r="A61" t="s">
        <v>71</v>
      </c>
      <c r="B61" t="s">
        <v>23</v>
      </c>
      <c r="C61" s="3">
        <v>1.024</v>
      </c>
      <c r="D61" s="2">
        <v>8.9142899999999997E-2</v>
      </c>
      <c r="F61" s="2">
        <v>8.8150000000000006E-2</v>
      </c>
      <c r="G61" s="7">
        <v>9.9294500000000007E-4</v>
      </c>
    </row>
    <row r="62" spans="1:7" ht="12.75" x14ac:dyDescent="0.2">
      <c r="A62" t="s">
        <v>72</v>
      </c>
      <c r="B62" t="s">
        <v>23</v>
      </c>
      <c r="C62" s="3">
        <v>1.024</v>
      </c>
      <c r="D62" s="2">
        <v>8.7717600000000007E-2</v>
      </c>
      <c r="F62" s="2">
        <v>8.8150000000000006E-2</v>
      </c>
      <c r="G62" s="7">
        <v>-4.3235499999999999E-4</v>
      </c>
    </row>
    <row r="63" spans="1:7" ht="12.75" x14ac:dyDescent="0.2">
      <c r="A63" t="s">
        <v>62</v>
      </c>
      <c r="B63" t="s">
        <v>20</v>
      </c>
      <c r="C63" s="5">
        <v>0.40960000000000002</v>
      </c>
      <c r="D63" s="2">
        <v>6.6925600000000002E-2</v>
      </c>
      <c r="E63" s="3">
        <v>2.3171400000000002</v>
      </c>
      <c r="F63" s="2">
        <v>6.9698399999999994E-2</v>
      </c>
      <c r="G63" s="6">
        <v>-2.7728499999999999E-3</v>
      </c>
    </row>
    <row r="64" spans="1:7" ht="12.75" x14ac:dyDescent="0.2">
      <c r="A64" t="s">
        <v>73</v>
      </c>
      <c r="B64" t="s">
        <v>20</v>
      </c>
      <c r="C64" s="5">
        <v>0.40960000000000002</v>
      </c>
      <c r="D64" s="2">
        <v>6.8022100000000002E-2</v>
      </c>
      <c r="F64" s="2">
        <v>6.9698399999999994E-2</v>
      </c>
      <c r="G64" s="6">
        <v>-1.6762999999999999E-3</v>
      </c>
    </row>
    <row r="65" spans="1:13" ht="12.75" x14ac:dyDescent="0.2">
      <c r="A65" t="s">
        <v>74</v>
      </c>
      <c r="B65" t="s">
        <v>20</v>
      </c>
      <c r="C65" s="5">
        <v>0.40960000000000002</v>
      </c>
      <c r="D65" s="2">
        <v>6.5828999999999999E-2</v>
      </c>
      <c r="F65" s="2">
        <v>6.9698399999999994E-2</v>
      </c>
      <c r="G65" s="6">
        <v>-3.8693999999999998E-3</v>
      </c>
    </row>
    <row r="66" spans="1:13" ht="12.75" x14ac:dyDescent="0.2">
      <c r="A66" t="s">
        <v>62</v>
      </c>
      <c r="B66" t="s">
        <v>17</v>
      </c>
      <c r="C66" s="5">
        <v>0.16384000000000001</v>
      </c>
      <c r="D66" s="2">
        <v>6.3986899999999999E-2</v>
      </c>
      <c r="E66" s="4">
        <v>15.5633</v>
      </c>
      <c r="F66" s="2">
        <v>6.3594200000000004E-2</v>
      </c>
      <c r="G66" s="7">
        <v>3.9270800000000002E-4</v>
      </c>
    </row>
    <row r="67" spans="1:13" ht="12.75" x14ac:dyDescent="0.2">
      <c r="A67" t="s">
        <v>75</v>
      </c>
      <c r="B67" t="s">
        <v>17</v>
      </c>
      <c r="C67" s="5">
        <v>0.16384000000000001</v>
      </c>
      <c r="D67" s="2">
        <v>5.6945200000000001E-2</v>
      </c>
      <c r="F67" s="2">
        <v>6.3594200000000004E-2</v>
      </c>
      <c r="G67" s="6">
        <v>-6.6489899999999996E-3</v>
      </c>
    </row>
    <row r="68" spans="1:13" ht="12.75" x14ac:dyDescent="0.2">
      <c r="A68" t="s">
        <v>76</v>
      </c>
      <c r="B68" t="s">
        <v>17</v>
      </c>
      <c r="C68" s="5">
        <v>0.16384000000000001</v>
      </c>
      <c r="D68" s="2">
        <v>7.1028599999999997E-2</v>
      </c>
      <c r="F68" s="2">
        <v>6.3594200000000004E-2</v>
      </c>
      <c r="G68" s="6">
        <v>7.4344099999999998E-3</v>
      </c>
    </row>
    <row r="69" spans="1:13" ht="12.75" x14ac:dyDescent="0.2"/>
    <row r="70" spans="1:13" ht="12.75" x14ac:dyDescent="0.2"/>
    <row r="71" spans="1:13" ht="12.75" x14ac:dyDescent="0.2">
      <c r="A71" t="s">
        <v>6</v>
      </c>
    </row>
    <row r="72" spans="1:13" ht="12.75" x14ac:dyDescent="0.2">
      <c r="A72" t="s">
        <v>3</v>
      </c>
    </row>
    <row r="73" spans="1:13" ht="12.75" x14ac:dyDescent="0.2">
      <c r="A73" t="s">
        <v>77</v>
      </c>
      <c r="B73" s="1">
        <v>1</v>
      </c>
      <c r="C73" s="1">
        <v>2</v>
      </c>
      <c r="D73" s="1">
        <v>3</v>
      </c>
      <c r="E73" s="1">
        <v>4</v>
      </c>
      <c r="F73" s="1">
        <v>5</v>
      </c>
      <c r="G73" s="1">
        <v>6</v>
      </c>
      <c r="H73" s="1">
        <v>7</v>
      </c>
      <c r="I73" s="1">
        <v>8</v>
      </c>
      <c r="J73" s="1">
        <v>9</v>
      </c>
      <c r="K73" s="1">
        <v>10</v>
      </c>
      <c r="L73" s="1">
        <v>11</v>
      </c>
      <c r="M73" s="1">
        <v>12</v>
      </c>
    </row>
    <row r="74" spans="1:13" ht="12.75" x14ac:dyDescent="0.2">
      <c r="A74" t="s">
        <v>8</v>
      </c>
      <c r="B74" s="8">
        <v>5.6945200000000001E-2</v>
      </c>
      <c r="C74" s="8">
        <v>7.1028599999999997E-2</v>
      </c>
      <c r="D74" s="9">
        <v>2.3510300000000002</v>
      </c>
      <c r="E74" s="9">
        <v>2.1301299999999999</v>
      </c>
    </row>
    <row r="75" spans="1:13" ht="12.75" x14ac:dyDescent="0.2">
      <c r="A75" t="s">
        <v>9</v>
      </c>
      <c r="B75" s="8">
        <v>6.8022100000000002E-2</v>
      </c>
      <c r="C75" s="8">
        <v>6.5828999999999999E-2</v>
      </c>
      <c r="D75" s="9">
        <v>1.6849799999999999</v>
      </c>
      <c r="E75" s="9">
        <v>1.65449</v>
      </c>
    </row>
    <row r="76" spans="1:13" ht="12.75" x14ac:dyDescent="0.2">
      <c r="A76" t="s">
        <v>10</v>
      </c>
      <c r="B76" s="8">
        <v>8.9142899999999997E-2</v>
      </c>
      <c r="C76" s="8">
        <v>8.7717600000000007E-2</v>
      </c>
      <c r="D76" s="10">
        <v>0.83835800000000005</v>
      </c>
      <c r="E76" s="10">
        <v>0.82636699999999996</v>
      </c>
    </row>
    <row r="77" spans="1:13" ht="12.75" x14ac:dyDescent="0.2">
      <c r="A77" t="s">
        <v>11</v>
      </c>
      <c r="B77" s="10">
        <v>0.15012800000000001</v>
      </c>
      <c r="C77" s="10">
        <v>0.14613200000000001</v>
      </c>
      <c r="D77" s="10">
        <v>0.36940600000000001</v>
      </c>
      <c r="E77" s="10">
        <v>0.412302</v>
      </c>
    </row>
    <row r="78" spans="1:13" ht="12.75" x14ac:dyDescent="0.2">
      <c r="A78" t="s">
        <v>12</v>
      </c>
      <c r="B78" s="10">
        <v>0.29943900000000001</v>
      </c>
      <c r="C78" s="10">
        <v>0.301647</v>
      </c>
      <c r="D78" s="9">
        <v>1.8299099999999999</v>
      </c>
      <c r="E78" s="9">
        <v>1.7962800000000001</v>
      </c>
    </row>
    <row r="79" spans="1:13" ht="12.75" x14ac:dyDescent="0.2">
      <c r="A79" t="s">
        <v>13</v>
      </c>
      <c r="B79" s="10">
        <v>0.74748700000000001</v>
      </c>
      <c r="C79" s="10">
        <v>0.72332099999999999</v>
      </c>
      <c r="D79" s="9">
        <v>1.7588200000000001</v>
      </c>
      <c r="E79" s="9">
        <v>1.7304600000000001</v>
      </c>
    </row>
    <row r="80" spans="1:13" ht="12.75" x14ac:dyDescent="0.2">
      <c r="A80" t="s">
        <v>14</v>
      </c>
      <c r="B80" s="9">
        <v>1.6756200000000001</v>
      </c>
      <c r="C80" s="9">
        <v>1.6713199999999999</v>
      </c>
      <c r="D80" s="9">
        <v>1.77643</v>
      </c>
      <c r="E80" s="9">
        <v>1.7662100000000001</v>
      </c>
    </row>
    <row r="81" spans="1:13" ht="12.75" x14ac:dyDescent="0.2">
      <c r="A81" t="s">
        <v>15</v>
      </c>
      <c r="D81" s="9">
        <v>1.03043</v>
      </c>
      <c r="E81" s="9">
        <v>1.01596</v>
      </c>
    </row>
    <row r="82" spans="1:13" ht="12.75" x14ac:dyDescent="0.2"/>
    <row r="83" spans="1:13" ht="12.75" x14ac:dyDescent="0.2">
      <c r="A83" s="22" t="s">
        <v>57</v>
      </c>
      <c r="B83" s="30">
        <v>1</v>
      </c>
      <c r="C83" s="30">
        <v>2</v>
      </c>
      <c r="D83" s="30">
        <v>3</v>
      </c>
      <c r="E83" s="30">
        <v>4</v>
      </c>
      <c r="F83" s="1"/>
      <c r="G83" s="1"/>
      <c r="H83" s="1"/>
      <c r="I83" s="1"/>
      <c r="J83" s="1"/>
      <c r="K83" s="1"/>
      <c r="L83" s="1"/>
      <c r="M83" s="1"/>
    </row>
    <row r="84" spans="1:13" ht="12.75" x14ac:dyDescent="0.2">
      <c r="A84" s="22" t="s">
        <v>8</v>
      </c>
      <c r="B84" s="22" t="s">
        <v>78</v>
      </c>
      <c r="C84" s="27">
        <v>0.458451</v>
      </c>
      <c r="D84" s="22" t="s">
        <v>79</v>
      </c>
      <c r="E84" s="28">
        <v>55.149299999999997</v>
      </c>
    </row>
    <row r="85" spans="1:13" ht="12.75" x14ac:dyDescent="0.2">
      <c r="A85" s="22" t="s">
        <v>9</v>
      </c>
      <c r="B85" s="27">
        <v>0.34623199999999998</v>
      </c>
      <c r="C85" s="27">
        <v>0.25936399999999998</v>
      </c>
      <c r="D85" s="28">
        <v>40.342199999999998</v>
      </c>
      <c r="E85" s="28">
        <v>39.431899999999999</v>
      </c>
    </row>
    <row r="86" spans="1:13" ht="12.75" x14ac:dyDescent="0.2">
      <c r="A86" s="22" t="s">
        <v>10</v>
      </c>
      <c r="B86" s="29">
        <v>1.0545100000000001</v>
      </c>
      <c r="C86" s="29">
        <v>1.0106599999999999</v>
      </c>
      <c r="D86" s="28">
        <v>18.364000000000001</v>
      </c>
      <c r="E86" s="28">
        <v>18.088799999999999</v>
      </c>
    </row>
    <row r="87" spans="1:13" ht="12.75" x14ac:dyDescent="0.2">
      <c r="A87" s="22" t="s">
        <v>11</v>
      </c>
      <c r="B87" s="29">
        <v>2.7338300000000002</v>
      </c>
      <c r="C87" s="29">
        <v>2.6310699999999998</v>
      </c>
      <c r="D87" s="29">
        <v>7.8750799999999996</v>
      </c>
      <c r="E87" s="29">
        <v>8.8320600000000002</v>
      </c>
    </row>
    <row r="88" spans="1:13" ht="12.75" x14ac:dyDescent="0.2">
      <c r="A88" s="22" t="s">
        <v>12</v>
      </c>
      <c r="B88" s="29">
        <v>6.2956899999999996</v>
      </c>
      <c r="C88" s="29">
        <v>6.3460299999999998</v>
      </c>
      <c r="D88" s="28">
        <v>44.834200000000003</v>
      </c>
      <c r="E88" s="28">
        <v>43.766500000000001</v>
      </c>
    </row>
    <row r="89" spans="1:13" ht="12.75" x14ac:dyDescent="0.2">
      <c r="A89" s="22" t="s">
        <v>13</v>
      </c>
      <c r="B89" s="28">
        <v>16.293700000000001</v>
      </c>
      <c r="C89" s="28">
        <v>15.7484</v>
      </c>
      <c r="D89" s="28">
        <v>42.595599999999997</v>
      </c>
      <c r="E89" s="28">
        <v>41.721699999999998</v>
      </c>
    </row>
    <row r="90" spans="1:13" ht="12.75" x14ac:dyDescent="0.2">
      <c r="A90" s="22" t="s">
        <v>14</v>
      </c>
      <c r="B90" s="28">
        <v>40.061500000000002</v>
      </c>
      <c r="C90" s="28">
        <v>39.932899999999997</v>
      </c>
      <c r="D90" s="28">
        <v>43.143599999999999</v>
      </c>
      <c r="E90" s="28">
        <v>42.825099999999999</v>
      </c>
    </row>
    <row r="91" spans="1:13" ht="12.75" x14ac:dyDescent="0.2">
      <c r="A91" s="22" t="s">
        <v>15</v>
      </c>
      <c r="B91" s="22"/>
      <c r="C91" s="22"/>
      <c r="D91" s="28">
        <v>22.870999999999999</v>
      </c>
      <c r="E91" s="28">
        <v>22.5242</v>
      </c>
    </row>
    <row r="92" spans="1:13" ht="12.75" x14ac:dyDescent="0.2"/>
    <row r="93" spans="1:13" ht="12.75" x14ac:dyDescent="0.2">
      <c r="A93" s="22" t="s">
        <v>16</v>
      </c>
      <c r="B93" s="30">
        <v>1</v>
      </c>
      <c r="C93" s="30">
        <v>2</v>
      </c>
      <c r="D93" s="30">
        <v>3</v>
      </c>
      <c r="E93" s="30">
        <v>4</v>
      </c>
      <c r="F93" s="1"/>
      <c r="G93" s="1"/>
      <c r="H93" s="1"/>
      <c r="I93" s="1"/>
      <c r="J93" s="1"/>
      <c r="K93" s="1"/>
      <c r="L93" s="1"/>
      <c r="M93" s="1"/>
    </row>
    <row r="94" spans="1:13" ht="12.75" x14ac:dyDescent="0.2">
      <c r="A94" s="22" t="s">
        <v>8</v>
      </c>
      <c r="B94" s="22" t="s">
        <v>200</v>
      </c>
      <c r="C94" s="22" t="s">
        <v>200</v>
      </c>
      <c r="D94" s="22" t="s">
        <v>201</v>
      </c>
      <c r="E94" s="22" t="s">
        <v>201</v>
      </c>
    </row>
    <row r="95" spans="1:13" ht="12.75" x14ac:dyDescent="0.2">
      <c r="A95" s="22" t="s">
        <v>9</v>
      </c>
      <c r="B95" s="22" t="s">
        <v>202</v>
      </c>
      <c r="C95" s="22" t="s">
        <v>202</v>
      </c>
      <c r="D95" s="22" t="s">
        <v>203</v>
      </c>
      <c r="E95" s="22" t="s">
        <v>203</v>
      </c>
    </row>
    <row r="96" spans="1:13" ht="12.75" x14ac:dyDescent="0.2">
      <c r="A96" s="22" t="s">
        <v>10</v>
      </c>
      <c r="B96" s="22" t="s">
        <v>204</v>
      </c>
      <c r="C96" s="22" t="s">
        <v>204</v>
      </c>
      <c r="D96" s="22" t="s">
        <v>205</v>
      </c>
      <c r="E96" s="22" t="s">
        <v>205</v>
      </c>
    </row>
    <row r="97" spans="1:6" ht="12.75" x14ac:dyDescent="0.2">
      <c r="A97" s="22" t="s">
        <v>11</v>
      </c>
      <c r="B97" s="22" t="s">
        <v>206</v>
      </c>
      <c r="C97" s="22" t="s">
        <v>206</v>
      </c>
      <c r="D97" s="22" t="s">
        <v>207</v>
      </c>
      <c r="E97" s="22" t="s">
        <v>207</v>
      </c>
    </row>
    <row r="98" spans="1:6" ht="12.75" x14ac:dyDescent="0.2">
      <c r="A98" s="22" t="s">
        <v>12</v>
      </c>
      <c r="B98" s="22" t="s">
        <v>208</v>
      </c>
      <c r="C98" s="22" t="s">
        <v>208</v>
      </c>
      <c r="D98" s="23" t="s">
        <v>224</v>
      </c>
      <c r="E98" s="23" t="s">
        <v>224</v>
      </c>
    </row>
    <row r="99" spans="1:6" ht="12.75" x14ac:dyDescent="0.2">
      <c r="A99" s="22" t="s">
        <v>13</v>
      </c>
      <c r="B99" s="22" t="s">
        <v>209</v>
      </c>
      <c r="C99" s="22" t="s">
        <v>209</v>
      </c>
      <c r="D99" s="23" t="s">
        <v>225</v>
      </c>
      <c r="E99" s="23" t="s">
        <v>225</v>
      </c>
    </row>
    <row r="100" spans="1:6" ht="12.75" x14ac:dyDescent="0.2">
      <c r="A100" s="22" t="s">
        <v>14</v>
      </c>
      <c r="B100" s="22" t="s">
        <v>210</v>
      </c>
      <c r="C100" s="22" t="s">
        <v>210</v>
      </c>
      <c r="D100" s="23" t="s">
        <v>226</v>
      </c>
      <c r="E100" s="23" t="s">
        <v>226</v>
      </c>
    </row>
    <row r="101" spans="1:6" ht="12.75" x14ac:dyDescent="0.2">
      <c r="A101" s="22" t="s">
        <v>15</v>
      </c>
      <c r="B101" s="22" t="s">
        <v>38</v>
      </c>
      <c r="C101" s="22" t="s">
        <v>38</v>
      </c>
      <c r="D101" s="24" t="s">
        <v>227</v>
      </c>
      <c r="E101" s="24" t="s">
        <v>227</v>
      </c>
    </row>
    <row r="103" spans="1:6" ht="12.75" x14ac:dyDescent="0.2">
      <c r="A103" t="s">
        <v>80</v>
      </c>
      <c r="C103" s="25"/>
      <c r="D103" s="33" t="s">
        <v>211</v>
      </c>
      <c r="E103" s="33"/>
      <c r="F103" s="33"/>
    </row>
    <row r="104" spans="1:6" ht="15" customHeight="1" x14ac:dyDescent="0.2">
      <c r="C104" s="26"/>
      <c r="D104" s="34" t="s">
        <v>212</v>
      </c>
      <c r="E104" s="34"/>
      <c r="F104" s="34"/>
    </row>
  </sheetData>
  <mergeCells count="2">
    <mergeCell ref="D103:F103"/>
    <mergeCell ref="D104:F10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4"/>
  <sheetViews>
    <sheetView topLeftCell="A10" workbookViewId="0">
      <selection activeCell="M37" sqref="M37"/>
    </sheetView>
  </sheetViews>
  <sheetFormatPr defaultColWidth="9.140625" defaultRowHeight="15" customHeight="1" x14ac:dyDescent="0.2"/>
  <cols>
    <col min="1" max="1" width="11.28515625" customWidth="1"/>
    <col min="2" max="2" width="14.140625" customWidth="1"/>
    <col min="3" max="3" width="13.42578125" customWidth="1"/>
    <col min="4" max="5" width="12.28515625" customWidth="1"/>
    <col min="6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81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22" t="s">
        <v>82</v>
      </c>
      <c r="B13" s="30">
        <v>1</v>
      </c>
      <c r="C13" s="30">
        <v>2</v>
      </c>
      <c r="D13" s="30">
        <v>3</v>
      </c>
      <c r="E13" s="30">
        <v>4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2">
      <c r="A14" s="22" t="s">
        <v>8</v>
      </c>
      <c r="B14" s="31">
        <v>3.5604999999999999E-3</v>
      </c>
      <c r="C14" s="32">
        <v>1.7643900000000001E-2</v>
      </c>
      <c r="D14" s="29">
        <v>2.29765</v>
      </c>
      <c r="E14" s="29">
        <v>2.0767500000000001</v>
      </c>
    </row>
    <row r="15" spans="1:13" ht="15" customHeight="1" x14ac:dyDescent="0.2">
      <c r="A15" s="22" t="s">
        <v>9</v>
      </c>
      <c r="B15" s="32">
        <v>1.46374E-2</v>
      </c>
      <c r="C15" s="32">
        <v>1.24443E-2</v>
      </c>
      <c r="D15" s="29">
        <v>1.6315999999999999</v>
      </c>
      <c r="E15" s="29">
        <v>1.60111</v>
      </c>
    </row>
    <row r="16" spans="1:13" ht="15" customHeight="1" x14ac:dyDescent="0.2">
      <c r="A16" s="22" t="s">
        <v>10</v>
      </c>
      <c r="B16" s="32">
        <v>3.5758199999999997E-2</v>
      </c>
      <c r="C16" s="32">
        <v>3.43329E-2</v>
      </c>
      <c r="D16" s="27">
        <v>0.78497300000000003</v>
      </c>
      <c r="E16" s="27">
        <v>0.77298199999999995</v>
      </c>
    </row>
    <row r="17" spans="1:13" ht="15" customHeight="1" x14ac:dyDescent="0.2">
      <c r="A17" s="22" t="s">
        <v>11</v>
      </c>
      <c r="B17" s="32">
        <v>9.6743300000000004E-2</v>
      </c>
      <c r="C17" s="32">
        <v>9.2747300000000005E-2</v>
      </c>
      <c r="D17" s="27">
        <v>0.316021</v>
      </c>
      <c r="E17" s="27">
        <v>0.35891699999999999</v>
      </c>
    </row>
    <row r="18" spans="1:13" ht="15" customHeight="1" x14ac:dyDescent="0.2">
      <c r="A18" s="22" t="s">
        <v>12</v>
      </c>
      <c r="B18" s="27">
        <v>0.24605399999999999</v>
      </c>
      <c r="C18" s="27">
        <v>0.24826200000000001</v>
      </c>
      <c r="D18" s="29">
        <v>1.7765299999999999</v>
      </c>
      <c r="E18" s="29">
        <v>1.7428999999999999</v>
      </c>
    </row>
    <row r="19" spans="1:13" ht="15" customHeight="1" x14ac:dyDescent="0.2">
      <c r="A19" s="22" t="s">
        <v>13</v>
      </c>
      <c r="B19" s="27">
        <v>0.694102</v>
      </c>
      <c r="C19" s="27">
        <v>0.66993599999999998</v>
      </c>
      <c r="D19" s="29">
        <v>1.7054400000000001</v>
      </c>
      <c r="E19" s="29">
        <v>1.6770799999999999</v>
      </c>
    </row>
    <row r="20" spans="1:13" ht="15" customHeight="1" x14ac:dyDescent="0.2">
      <c r="A20" s="22" t="s">
        <v>14</v>
      </c>
      <c r="B20" s="29">
        <v>1.6222399999999999</v>
      </c>
      <c r="C20" s="29">
        <v>1.6179399999999999</v>
      </c>
      <c r="D20" s="29">
        <v>1.72305</v>
      </c>
      <c r="E20" s="29">
        <v>1.7128300000000001</v>
      </c>
    </row>
    <row r="21" spans="1:13" ht="15" customHeight="1" x14ac:dyDescent="0.2">
      <c r="A21" s="22" t="s">
        <v>15</v>
      </c>
      <c r="B21" s="40">
        <v>-8.7219999999999995E-4</v>
      </c>
      <c r="C21" s="40">
        <v>8.7219999999999995E-4</v>
      </c>
      <c r="D21" s="27">
        <v>0.97704500000000005</v>
      </c>
      <c r="E21" s="27">
        <v>0.96257499999999996</v>
      </c>
    </row>
    <row r="23" spans="1:13" ht="15" customHeight="1" x14ac:dyDescent="0.2">
      <c r="A23" s="22" t="s">
        <v>16</v>
      </c>
      <c r="B23" s="30">
        <v>1</v>
      </c>
      <c r="C23" s="30">
        <v>2</v>
      </c>
      <c r="D23" s="30">
        <v>3</v>
      </c>
      <c r="E23" s="30">
        <v>4</v>
      </c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2">
      <c r="A24" s="22" t="s">
        <v>8</v>
      </c>
      <c r="B24" s="22" t="s">
        <v>200</v>
      </c>
      <c r="C24" s="22" t="s">
        <v>200</v>
      </c>
      <c r="D24" s="22" t="s">
        <v>201</v>
      </c>
      <c r="E24" s="22" t="s">
        <v>201</v>
      </c>
    </row>
    <row r="25" spans="1:13" ht="12.75" x14ac:dyDescent="0.2">
      <c r="A25" s="22" t="s">
        <v>9</v>
      </c>
      <c r="B25" s="22" t="s">
        <v>202</v>
      </c>
      <c r="C25" s="22" t="s">
        <v>202</v>
      </c>
      <c r="D25" s="22" t="s">
        <v>203</v>
      </c>
      <c r="E25" s="22" t="s">
        <v>203</v>
      </c>
    </row>
    <row r="26" spans="1:13" ht="12.75" x14ac:dyDescent="0.2">
      <c r="A26" s="22" t="s">
        <v>10</v>
      </c>
      <c r="B26" s="22" t="s">
        <v>204</v>
      </c>
      <c r="C26" s="22" t="s">
        <v>204</v>
      </c>
      <c r="D26" s="22" t="s">
        <v>205</v>
      </c>
      <c r="E26" s="22" t="s">
        <v>205</v>
      </c>
    </row>
    <row r="27" spans="1:13" ht="12.75" x14ac:dyDescent="0.2">
      <c r="A27" s="22" t="s">
        <v>11</v>
      </c>
      <c r="B27" s="22" t="s">
        <v>206</v>
      </c>
      <c r="C27" s="22" t="s">
        <v>206</v>
      </c>
      <c r="D27" s="22" t="s">
        <v>207</v>
      </c>
      <c r="E27" s="22" t="s">
        <v>207</v>
      </c>
    </row>
    <row r="28" spans="1:13" ht="12.75" x14ac:dyDescent="0.2">
      <c r="A28" s="22" t="s">
        <v>12</v>
      </c>
      <c r="B28" s="22" t="s">
        <v>208</v>
      </c>
      <c r="C28" s="22" t="s">
        <v>208</v>
      </c>
      <c r="D28" s="23" t="s">
        <v>224</v>
      </c>
      <c r="E28" s="23" t="s">
        <v>224</v>
      </c>
    </row>
    <row r="29" spans="1:13" ht="12.75" x14ac:dyDescent="0.2">
      <c r="A29" s="22" t="s">
        <v>13</v>
      </c>
      <c r="B29" s="22" t="s">
        <v>209</v>
      </c>
      <c r="C29" s="22" t="s">
        <v>209</v>
      </c>
      <c r="D29" s="23" t="s">
        <v>225</v>
      </c>
      <c r="E29" s="23" t="s">
        <v>225</v>
      </c>
    </row>
    <row r="30" spans="1:13" ht="12.75" x14ac:dyDescent="0.2">
      <c r="A30" s="22" t="s">
        <v>14</v>
      </c>
      <c r="B30" s="22" t="s">
        <v>210</v>
      </c>
      <c r="C30" s="22" t="s">
        <v>210</v>
      </c>
      <c r="D30" s="23" t="s">
        <v>226</v>
      </c>
      <c r="E30" s="23" t="s">
        <v>226</v>
      </c>
    </row>
    <row r="31" spans="1:13" ht="12.75" x14ac:dyDescent="0.2">
      <c r="A31" s="22" t="s">
        <v>15</v>
      </c>
      <c r="B31" s="22" t="s">
        <v>38</v>
      </c>
      <c r="C31" s="22" t="s">
        <v>38</v>
      </c>
      <c r="D31" s="24" t="s">
        <v>227</v>
      </c>
      <c r="E31" s="24" t="s">
        <v>227</v>
      </c>
    </row>
    <row r="33" spans="1:6" ht="12.75" x14ac:dyDescent="0.2">
      <c r="A33" t="s">
        <v>83</v>
      </c>
      <c r="C33" s="25"/>
      <c r="D33" s="33" t="s">
        <v>211</v>
      </c>
      <c r="E33" s="33"/>
      <c r="F33" s="33"/>
    </row>
    <row r="34" spans="1:6" ht="15" customHeight="1" x14ac:dyDescent="0.2">
      <c r="C34" s="26"/>
      <c r="D34" s="34" t="s">
        <v>212</v>
      </c>
      <c r="E34" s="34"/>
      <c r="F34" s="34"/>
    </row>
  </sheetData>
  <mergeCells count="2">
    <mergeCell ref="D33:F33"/>
    <mergeCell ref="D34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O106"/>
  <sheetViews>
    <sheetView tabSelected="1" topLeftCell="A67" workbookViewId="0">
      <selection activeCell="L77" sqref="L77"/>
    </sheetView>
  </sheetViews>
  <sheetFormatPr defaultColWidth="9.140625" defaultRowHeight="15" customHeight="1" x14ac:dyDescent="0.2"/>
  <cols>
    <col min="1" max="1" width="13.7109375" customWidth="1"/>
    <col min="2" max="2" width="12.42578125" customWidth="1"/>
    <col min="3" max="3" width="13.5703125" customWidth="1"/>
    <col min="4" max="4" width="14.42578125" customWidth="1"/>
    <col min="5" max="5" width="10.140625" customWidth="1"/>
    <col min="6" max="6" width="12.5703125" customWidth="1"/>
    <col min="8" max="8" width="16.140625" customWidth="1"/>
    <col min="9" max="9" width="12.140625" customWidth="1"/>
    <col min="10" max="10" width="11.85546875" customWidth="1"/>
    <col min="11" max="11" width="11.710937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84</v>
      </c>
    </row>
    <row r="7" spans="1:1" ht="15" customHeight="1" x14ac:dyDescent="0.2">
      <c r="A7" t="s">
        <v>43</v>
      </c>
    </row>
    <row r="8" spans="1:1" ht="15" customHeight="1" x14ac:dyDescent="0.2">
      <c r="A8" t="s">
        <v>44</v>
      </c>
    </row>
    <row r="9" spans="1:1" ht="15" customHeight="1" x14ac:dyDescent="0.2">
      <c r="A9" t="s">
        <v>45</v>
      </c>
    </row>
    <row r="10" spans="1:1" ht="15" customHeight="1" x14ac:dyDescent="0.2">
      <c r="A10" t="s">
        <v>5</v>
      </c>
    </row>
    <row r="11" spans="1:1" ht="15" customHeight="1" x14ac:dyDescent="0.2">
      <c r="A11" t="s">
        <v>46</v>
      </c>
    </row>
    <row r="12" spans="1:1" ht="15" customHeight="1" x14ac:dyDescent="0.2">
      <c r="A12" t="s">
        <v>47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spans="1:6" ht="12.75" x14ac:dyDescent="0.2"/>
    <row r="34" spans="1:6" ht="12.75" x14ac:dyDescent="0.2"/>
    <row r="35" spans="1:6" ht="12.75" x14ac:dyDescent="0.2"/>
    <row r="36" spans="1:6" ht="12.75" x14ac:dyDescent="0.2">
      <c r="A36" t="s">
        <v>85</v>
      </c>
    </row>
    <row r="37" spans="1:6" ht="12.75" x14ac:dyDescent="0.2"/>
    <row r="38" spans="1:6" ht="12.75" x14ac:dyDescent="0.2">
      <c r="A38" t="s">
        <v>49</v>
      </c>
    </row>
    <row r="39" spans="1:6" ht="12.75" x14ac:dyDescent="0.2">
      <c r="A39" t="s">
        <v>50</v>
      </c>
    </row>
    <row r="40" spans="1:6" ht="12.75" x14ac:dyDescent="0.2">
      <c r="A40" t="s">
        <v>51</v>
      </c>
      <c r="B40" s="6">
        <v>7.2080399999999998E-3</v>
      </c>
    </row>
    <row r="41" spans="1:6" ht="12.75" x14ac:dyDescent="0.2">
      <c r="A41" t="s">
        <v>52</v>
      </c>
      <c r="B41" s="3">
        <v>1.2124900000000001</v>
      </c>
    </row>
    <row r="42" spans="1:6" ht="12.75" x14ac:dyDescent="0.2">
      <c r="A42" t="s">
        <v>53</v>
      </c>
      <c r="B42" s="4">
        <v>75.616500000000002</v>
      </c>
    </row>
    <row r="43" spans="1:6" ht="12.75" x14ac:dyDescent="0.2">
      <c r="A43" t="s">
        <v>54</v>
      </c>
      <c r="B43" s="3">
        <v>5.1111800000000001</v>
      </c>
    </row>
    <row r="44" spans="1:6" ht="12.75" x14ac:dyDescent="0.2"/>
    <row r="45" spans="1:6" ht="12.75" x14ac:dyDescent="0.2">
      <c r="A45" t="s">
        <v>55</v>
      </c>
    </row>
    <row r="46" spans="1:6" ht="12.75" x14ac:dyDescent="0.2">
      <c r="A46" t="s">
        <v>3</v>
      </c>
    </row>
    <row r="47" spans="1:6" ht="12.75" x14ac:dyDescent="0.2">
      <c r="A47" t="s">
        <v>56</v>
      </c>
      <c r="B47" t="s">
        <v>16</v>
      </c>
      <c r="C47" t="s">
        <v>57</v>
      </c>
      <c r="D47" t="s">
        <v>58</v>
      </c>
      <c r="E47" t="s">
        <v>59</v>
      </c>
      <c r="F47" t="s">
        <v>60</v>
      </c>
    </row>
    <row r="48" spans="1:6" ht="12.75" x14ac:dyDescent="0.2">
      <c r="A48" t="s">
        <v>62</v>
      </c>
      <c r="B48" t="s">
        <v>35</v>
      </c>
      <c r="C48" s="4">
        <v>40</v>
      </c>
      <c r="D48" s="3">
        <v>1.62009</v>
      </c>
      <c r="E48" s="5">
        <v>0.18767900000000001</v>
      </c>
      <c r="F48" s="3">
        <v>1.62018</v>
      </c>
    </row>
    <row r="49" spans="1:6" ht="12.75" x14ac:dyDescent="0.2">
      <c r="A49" t="s">
        <v>63</v>
      </c>
      <c r="B49" t="s">
        <v>35</v>
      </c>
      <c r="C49" s="4">
        <v>40</v>
      </c>
      <c r="D49" s="3">
        <v>1.6222399999999999</v>
      </c>
      <c r="F49" s="3">
        <v>1.62018</v>
      </c>
    </row>
    <row r="50" spans="1:6" ht="12.75" x14ac:dyDescent="0.2">
      <c r="A50" t="s">
        <v>64</v>
      </c>
      <c r="B50" t="s">
        <v>35</v>
      </c>
      <c r="C50" s="4">
        <v>40</v>
      </c>
      <c r="D50" s="3">
        <v>1.6179399999999999</v>
      </c>
      <c r="F50" s="3">
        <v>1.62018</v>
      </c>
    </row>
    <row r="51" spans="1:6" ht="12.75" x14ac:dyDescent="0.2">
      <c r="A51" t="s">
        <v>62</v>
      </c>
      <c r="B51" t="s">
        <v>32</v>
      </c>
      <c r="C51" s="4">
        <v>16</v>
      </c>
      <c r="D51" s="5">
        <v>0.68201900000000004</v>
      </c>
      <c r="E51" s="3">
        <v>2.50549</v>
      </c>
      <c r="F51" s="5">
        <v>0.68109799999999998</v>
      </c>
    </row>
    <row r="52" spans="1:6" ht="12.75" x14ac:dyDescent="0.2">
      <c r="A52" t="s">
        <v>65</v>
      </c>
      <c r="B52" t="s">
        <v>32</v>
      </c>
      <c r="C52" s="4">
        <v>16</v>
      </c>
      <c r="D52" s="5">
        <v>0.694102</v>
      </c>
      <c r="F52" s="5">
        <v>0.68109799999999998</v>
      </c>
    </row>
    <row r="53" spans="1:6" ht="12.75" x14ac:dyDescent="0.2">
      <c r="A53" t="s">
        <v>66</v>
      </c>
      <c r="B53" t="s">
        <v>32</v>
      </c>
      <c r="C53" s="4">
        <v>16</v>
      </c>
      <c r="D53" s="5">
        <v>0.66993599999999998</v>
      </c>
      <c r="F53" s="5">
        <v>0.68109799999999998</v>
      </c>
    </row>
    <row r="54" spans="1:6" ht="12.75" x14ac:dyDescent="0.2">
      <c r="A54" t="s">
        <v>62</v>
      </c>
      <c r="B54" t="s">
        <v>29</v>
      </c>
      <c r="C54" s="3">
        <v>6.4</v>
      </c>
      <c r="D54" s="5">
        <v>0.24715799999999999</v>
      </c>
      <c r="E54" s="5">
        <v>0.63169699999999995</v>
      </c>
      <c r="F54" s="5">
        <v>0.25063200000000002</v>
      </c>
    </row>
    <row r="55" spans="1:6" ht="12.75" x14ac:dyDescent="0.2">
      <c r="A55" t="s">
        <v>67</v>
      </c>
      <c r="B55" t="s">
        <v>29</v>
      </c>
      <c r="C55" s="3">
        <v>6.4</v>
      </c>
      <c r="D55" s="5">
        <v>0.24605399999999999</v>
      </c>
      <c r="F55" s="5">
        <v>0.25063200000000002</v>
      </c>
    </row>
    <row r="56" spans="1:6" ht="12.75" x14ac:dyDescent="0.2">
      <c r="A56" t="s">
        <v>68</v>
      </c>
      <c r="B56" t="s">
        <v>29</v>
      </c>
      <c r="C56" s="3">
        <v>6.4</v>
      </c>
      <c r="D56" s="5">
        <v>0.24826200000000001</v>
      </c>
      <c r="F56" s="5">
        <v>0.25063200000000002</v>
      </c>
    </row>
    <row r="57" spans="1:6" ht="12.75" x14ac:dyDescent="0.2">
      <c r="A57" t="s">
        <v>62</v>
      </c>
      <c r="B57" t="s">
        <v>26</v>
      </c>
      <c r="C57" s="3">
        <v>2.56</v>
      </c>
      <c r="D57" s="2">
        <v>9.4745300000000005E-2</v>
      </c>
      <c r="E57" s="3">
        <v>2.98231</v>
      </c>
      <c r="F57" s="2">
        <v>8.9999200000000001E-2</v>
      </c>
    </row>
    <row r="58" spans="1:6" ht="12.75" x14ac:dyDescent="0.2">
      <c r="A58" t="s">
        <v>69</v>
      </c>
      <c r="B58" t="s">
        <v>26</v>
      </c>
      <c r="C58" s="3">
        <v>2.56</v>
      </c>
      <c r="D58" s="2">
        <v>9.6743300000000004E-2</v>
      </c>
      <c r="F58" s="2">
        <v>8.9999200000000001E-2</v>
      </c>
    </row>
    <row r="59" spans="1:6" ht="12.75" x14ac:dyDescent="0.2">
      <c r="A59" t="s">
        <v>70</v>
      </c>
      <c r="B59" t="s">
        <v>26</v>
      </c>
      <c r="C59" s="3">
        <v>2.56</v>
      </c>
      <c r="D59" s="2">
        <v>9.2747300000000005E-2</v>
      </c>
      <c r="F59" s="2">
        <v>8.9999200000000001E-2</v>
      </c>
    </row>
    <row r="60" spans="1:6" ht="12.75" x14ac:dyDescent="0.2">
      <c r="A60" t="s">
        <v>62</v>
      </c>
      <c r="B60" t="s">
        <v>23</v>
      </c>
      <c r="C60" s="3">
        <v>1.024</v>
      </c>
      <c r="D60" s="2">
        <v>3.5045600000000003E-2</v>
      </c>
      <c r="E60" s="3">
        <v>2.8757999999999999</v>
      </c>
      <c r="F60" s="2">
        <v>3.4765299999999999E-2</v>
      </c>
    </row>
    <row r="61" spans="1:6" ht="12.75" x14ac:dyDescent="0.2">
      <c r="A61" t="s">
        <v>71</v>
      </c>
      <c r="B61" t="s">
        <v>23</v>
      </c>
      <c r="C61" s="3">
        <v>1.024</v>
      </c>
      <c r="D61" s="2">
        <v>3.5758199999999997E-2</v>
      </c>
      <c r="F61" s="2">
        <v>3.4765299999999999E-2</v>
      </c>
    </row>
    <row r="62" spans="1:6" ht="12.75" x14ac:dyDescent="0.2">
      <c r="A62" t="s">
        <v>72</v>
      </c>
      <c r="B62" t="s">
        <v>23</v>
      </c>
      <c r="C62" s="3">
        <v>1.024</v>
      </c>
      <c r="D62" s="2">
        <v>3.43329E-2</v>
      </c>
      <c r="F62" s="2">
        <v>3.4765299999999999E-2</v>
      </c>
    </row>
    <row r="63" spans="1:6" ht="12.75" x14ac:dyDescent="0.2">
      <c r="A63" t="s">
        <v>62</v>
      </c>
      <c r="B63" t="s">
        <v>20</v>
      </c>
      <c r="C63" s="5">
        <v>0.40960000000000002</v>
      </c>
      <c r="D63" s="2">
        <v>1.35409E-2</v>
      </c>
      <c r="E63" s="4">
        <v>11.452400000000001</v>
      </c>
      <c r="F63" s="2">
        <v>1.63137E-2</v>
      </c>
    </row>
    <row r="64" spans="1:6" ht="12.75" x14ac:dyDescent="0.2">
      <c r="A64" t="s">
        <v>73</v>
      </c>
      <c r="B64" t="s">
        <v>20</v>
      </c>
      <c r="C64" s="5">
        <v>0.40960000000000002</v>
      </c>
      <c r="D64" s="2">
        <v>1.46374E-2</v>
      </c>
      <c r="F64" s="2">
        <v>1.63137E-2</v>
      </c>
    </row>
    <row r="65" spans="1:6" ht="12.75" x14ac:dyDescent="0.2">
      <c r="A65" t="s">
        <v>74</v>
      </c>
      <c r="B65" t="s">
        <v>20</v>
      </c>
      <c r="C65" s="5">
        <v>0.40960000000000002</v>
      </c>
      <c r="D65" s="2">
        <v>1.24443E-2</v>
      </c>
      <c r="F65" s="2">
        <v>1.63137E-2</v>
      </c>
    </row>
    <row r="66" spans="1:6" ht="12.75" x14ac:dyDescent="0.2">
      <c r="A66" t="s">
        <v>62</v>
      </c>
      <c r="B66" t="s">
        <v>17</v>
      </c>
      <c r="C66" s="5">
        <v>0.16384000000000001</v>
      </c>
      <c r="D66" s="2">
        <v>1.0602200000000001E-2</v>
      </c>
      <c r="E66" s="4">
        <v>93.928299999999993</v>
      </c>
      <c r="F66" s="2">
        <v>1.02095E-2</v>
      </c>
    </row>
    <row r="67" spans="1:6" ht="12.75" x14ac:dyDescent="0.2">
      <c r="A67" t="s">
        <v>75</v>
      </c>
      <c r="B67" t="s">
        <v>17</v>
      </c>
      <c r="C67" s="5">
        <v>0.16384000000000001</v>
      </c>
      <c r="D67" s="6">
        <v>3.5604999999999999E-3</v>
      </c>
      <c r="F67" s="2">
        <v>1.02095E-2</v>
      </c>
    </row>
    <row r="68" spans="1:6" ht="12.75" x14ac:dyDescent="0.2">
      <c r="A68" t="s">
        <v>76</v>
      </c>
      <c r="B68" t="s">
        <v>17</v>
      </c>
      <c r="C68" s="5">
        <v>0.16384000000000001</v>
      </c>
      <c r="D68" s="2">
        <v>1.7643900000000001E-2</v>
      </c>
      <c r="F68" s="2">
        <v>1.02095E-2</v>
      </c>
    </row>
    <row r="69" spans="1:6" ht="12.75" x14ac:dyDescent="0.2"/>
    <row r="70" spans="1:6" ht="12.75" x14ac:dyDescent="0.2"/>
    <row r="71" spans="1:6" ht="12.75" x14ac:dyDescent="0.2">
      <c r="A71" t="s">
        <v>6</v>
      </c>
    </row>
    <row r="72" spans="1:6" ht="12.75" x14ac:dyDescent="0.2">
      <c r="A72" t="s">
        <v>3</v>
      </c>
    </row>
    <row r="73" spans="1:6" ht="12.75" x14ac:dyDescent="0.2">
      <c r="A73" s="22" t="s">
        <v>77</v>
      </c>
      <c r="B73" s="30">
        <v>1</v>
      </c>
      <c r="C73" s="30">
        <v>2</v>
      </c>
      <c r="D73" s="30">
        <v>3</v>
      </c>
      <c r="E73" s="30">
        <v>4</v>
      </c>
      <c r="F73" s="1"/>
    </row>
    <row r="74" spans="1:6" ht="12.75" x14ac:dyDescent="0.2">
      <c r="A74" s="22" t="s">
        <v>8</v>
      </c>
      <c r="B74" s="31">
        <v>3.5604999999999999E-3</v>
      </c>
      <c r="C74" s="32">
        <v>1.7643900000000001E-2</v>
      </c>
      <c r="D74" s="29">
        <v>2.29765</v>
      </c>
      <c r="E74" s="29">
        <v>2.0767500000000001</v>
      </c>
    </row>
    <row r="75" spans="1:6" ht="12.75" x14ac:dyDescent="0.2">
      <c r="A75" s="22" t="s">
        <v>9</v>
      </c>
      <c r="B75" s="32">
        <v>1.46374E-2</v>
      </c>
      <c r="C75" s="32">
        <v>1.24443E-2</v>
      </c>
      <c r="D75" s="29">
        <v>1.6315999999999999</v>
      </c>
      <c r="E75" s="29">
        <v>1.60111</v>
      </c>
    </row>
    <row r="76" spans="1:6" ht="12.75" x14ac:dyDescent="0.2">
      <c r="A76" s="22" t="s">
        <v>10</v>
      </c>
      <c r="B76" s="32">
        <v>3.5758199999999997E-2</v>
      </c>
      <c r="C76" s="32">
        <v>3.43329E-2</v>
      </c>
      <c r="D76" s="27">
        <v>0.78497300000000003</v>
      </c>
      <c r="E76" s="27">
        <v>0.77298199999999995</v>
      </c>
    </row>
    <row r="77" spans="1:6" ht="12.75" x14ac:dyDescent="0.2">
      <c r="A77" s="22" t="s">
        <v>11</v>
      </c>
      <c r="B77" s="32">
        <v>9.6743300000000004E-2</v>
      </c>
      <c r="C77" s="32">
        <v>9.2747300000000005E-2</v>
      </c>
      <c r="D77" s="27">
        <v>0.316021</v>
      </c>
      <c r="E77" s="27">
        <v>0.35891699999999999</v>
      </c>
    </row>
    <row r="78" spans="1:6" ht="12.75" x14ac:dyDescent="0.2">
      <c r="A78" s="22" t="s">
        <v>12</v>
      </c>
      <c r="B78" s="27">
        <v>0.24605399999999999</v>
      </c>
      <c r="C78" s="27">
        <v>0.24826200000000001</v>
      </c>
      <c r="D78" s="29">
        <v>1.7765299999999999</v>
      </c>
      <c r="E78" s="29">
        <v>1.7428999999999999</v>
      </c>
    </row>
    <row r="79" spans="1:6" ht="12.75" x14ac:dyDescent="0.2">
      <c r="A79" s="22" t="s">
        <v>13</v>
      </c>
      <c r="B79" s="27">
        <v>0.694102</v>
      </c>
      <c r="C79" s="27">
        <v>0.66993599999999998</v>
      </c>
      <c r="D79" s="29">
        <v>1.7054400000000001</v>
      </c>
      <c r="E79" s="29">
        <v>1.6770799999999999</v>
      </c>
    </row>
    <row r="80" spans="1:6" ht="12.75" x14ac:dyDescent="0.2">
      <c r="A80" s="22" t="s">
        <v>14</v>
      </c>
      <c r="B80" s="29">
        <v>1.6222399999999999</v>
      </c>
      <c r="C80" s="29">
        <v>1.6179399999999999</v>
      </c>
      <c r="D80" s="29">
        <v>1.72305</v>
      </c>
      <c r="E80" s="29">
        <v>1.7128300000000001</v>
      </c>
    </row>
    <row r="81" spans="1:15" ht="12.75" x14ac:dyDescent="0.2">
      <c r="A81" s="22" t="s">
        <v>15</v>
      </c>
      <c r="B81" s="22"/>
      <c r="C81" s="22"/>
      <c r="D81" s="27">
        <v>0.97704500000000005</v>
      </c>
      <c r="E81" s="27">
        <v>0.96257499999999996</v>
      </c>
    </row>
    <row r="82" spans="1:15" ht="12.75" x14ac:dyDescent="0.2"/>
    <row r="83" spans="1:15" ht="12.75" x14ac:dyDescent="0.2">
      <c r="A83" s="22" t="s">
        <v>57</v>
      </c>
      <c r="B83" s="30">
        <v>1</v>
      </c>
      <c r="C83" s="30">
        <v>2</v>
      </c>
      <c r="D83" s="30">
        <v>3</v>
      </c>
      <c r="E83" s="30">
        <v>4</v>
      </c>
      <c r="F83" s="1"/>
    </row>
    <row r="84" spans="1:15" ht="12.75" x14ac:dyDescent="0.2">
      <c r="A84" s="22" t="s">
        <v>8</v>
      </c>
      <c r="B84" s="22" t="s">
        <v>78</v>
      </c>
      <c r="C84" s="27">
        <v>0.458451</v>
      </c>
      <c r="D84" s="22" t="s">
        <v>79</v>
      </c>
      <c r="E84" s="28">
        <v>55.149299999999997</v>
      </c>
    </row>
    <row r="85" spans="1:15" ht="12.75" x14ac:dyDescent="0.2">
      <c r="A85" s="22" t="s">
        <v>9</v>
      </c>
      <c r="B85" s="27">
        <v>0.34623199999999998</v>
      </c>
      <c r="C85" s="27">
        <v>0.25936399999999998</v>
      </c>
      <c r="D85" s="28">
        <v>40.342199999999998</v>
      </c>
      <c r="E85" s="28">
        <v>39.431899999999999</v>
      </c>
      <c r="F85" s="4"/>
    </row>
    <row r="86" spans="1:15" ht="12.75" x14ac:dyDescent="0.2">
      <c r="A86" s="22" t="s">
        <v>10</v>
      </c>
      <c r="B86" s="29">
        <v>1.0545100000000001</v>
      </c>
      <c r="C86" s="29">
        <v>1.0106599999999999</v>
      </c>
      <c r="D86" s="28">
        <v>18.364000000000001</v>
      </c>
      <c r="E86" s="28">
        <v>18.088799999999999</v>
      </c>
      <c r="F86" s="4"/>
    </row>
    <row r="87" spans="1:15" ht="12.75" x14ac:dyDescent="0.2">
      <c r="A87" s="22" t="s">
        <v>11</v>
      </c>
      <c r="B87" s="29">
        <v>2.7338300000000002</v>
      </c>
      <c r="C87" s="29">
        <v>2.6310699999999998</v>
      </c>
      <c r="D87" s="29">
        <v>7.8750799999999996</v>
      </c>
      <c r="E87" s="29">
        <v>8.8320600000000002</v>
      </c>
      <c r="F87" s="4"/>
    </row>
    <row r="88" spans="1:15" ht="12.75" x14ac:dyDescent="0.2">
      <c r="A88" s="22" t="s">
        <v>12</v>
      </c>
      <c r="B88" s="29">
        <v>6.2956899999999996</v>
      </c>
      <c r="C88" s="29">
        <v>6.3460299999999998</v>
      </c>
      <c r="D88" s="28">
        <v>44.834200000000003</v>
      </c>
      <c r="E88" s="28">
        <v>43.766500000000001</v>
      </c>
      <c r="F88" s="4"/>
    </row>
    <row r="89" spans="1:15" ht="12.75" x14ac:dyDescent="0.2">
      <c r="A89" s="22" t="s">
        <v>13</v>
      </c>
      <c r="B89" s="28">
        <v>16.293700000000001</v>
      </c>
      <c r="C89" s="28">
        <v>15.7484</v>
      </c>
      <c r="D89" s="28">
        <v>42.595599999999997</v>
      </c>
      <c r="E89" s="28">
        <v>41.721699999999998</v>
      </c>
      <c r="F89" s="4"/>
    </row>
    <row r="90" spans="1:15" ht="12.75" x14ac:dyDescent="0.2">
      <c r="A90" s="22" t="s">
        <v>14</v>
      </c>
      <c r="B90" s="28">
        <v>40.061500000000002</v>
      </c>
      <c r="C90" s="28">
        <v>39.932899999999997</v>
      </c>
      <c r="D90" s="28">
        <v>43.143599999999999</v>
      </c>
      <c r="E90" s="28">
        <v>42.825099999999999</v>
      </c>
      <c r="F90" s="4"/>
    </row>
    <row r="91" spans="1:15" ht="12.75" x14ac:dyDescent="0.2">
      <c r="A91" s="22" t="s">
        <v>15</v>
      </c>
      <c r="B91" s="22"/>
      <c r="C91" s="22"/>
      <c r="D91" s="28">
        <v>22.870999999999999</v>
      </c>
      <c r="E91" s="28">
        <v>22.5242</v>
      </c>
      <c r="F91" s="4"/>
    </row>
    <row r="92" spans="1:15" ht="12.75" x14ac:dyDescent="0.2">
      <c r="H92" s="39" t="s">
        <v>223</v>
      </c>
      <c r="I92" s="39"/>
      <c r="J92" s="39"/>
      <c r="K92" s="39"/>
    </row>
    <row r="93" spans="1:15" ht="12.75" x14ac:dyDescent="0.2">
      <c r="A93" s="22" t="s">
        <v>16</v>
      </c>
      <c r="B93" s="30">
        <v>1</v>
      </c>
      <c r="C93" s="30">
        <v>2</v>
      </c>
      <c r="D93" s="30">
        <v>3</v>
      </c>
      <c r="E93" s="30">
        <v>4</v>
      </c>
      <c r="F93" s="1"/>
      <c r="H93" s="22" t="s">
        <v>213</v>
      </c>
      <c r="I93" s="22" t="s">
        <v>214</v>
      </c>
      <c r="J93" s="22" t="s">
        <v>215</v>
      </c>
      <c r="K93" s="22" t="s">
        <v>216</v>
      </c>
    </row>
    <row r="94" spans="1:15" ht="12.75" x14ac:dyDescent="0.2">
      <c r="A94" s="22" t="s">
        <v>8</v>
      </c>
      <c r="B94" s="22" t="s">
        <v>200</v>
      </c>
      <c r="C94" s="22" t="s">
        <v>200</v>
      </c>
      <c r="D94" s="22" t="s">
        <v>201</v>
      </c>
      <c r="E94" s="22" t="s">
        <v>201</v>
      </c>
      <c r="H94" s="22">
        <v>2</v>
      </c>
      <c r="I94" s="22" t="s">
        <v>219</v>
      </c>
      <c r="J94" s="22" t="e">
        <f>H94*I94</f>
        <v>#VALUE!</v>
      </c>
      <c r="K94" s="22" t="e">
        <f>(J94/43.5066)*100</f>
        <v>#VALUE!</v>
      </c>
    </row>
    <row r="95" spans="1:15" ht="12.75" x14ac:dyDescent="0.2">
      <c r="A95" s="22" t="s">
        <v>9</v>
      </c>
      <c r="B95" s="22" t="s">
        <v>202</v>
      </c>
      <c r="C95" s="22" t="s">
        <v>202</v>
      </c>
      <c r="D95" s="22" t="s">
        <v>203</v>
      </c>
      <c r="E95" s="22" t="s">
        <v>203</v>
      </c>
      <c r="H95" s="22">
        <v>4</v>
      </c>
      <c r="I95" s="22">
        <v>39.887050000000002</v>
      </c>
      <c r="J95" s="22">
        <f t="shared" ref="J95:J97" si="0">H95*I95</f>
        <v>159.54820000000001</v>
      </c>
      <c r="K95" s="22">
        <f>(J95/145.8122)*100</f>
        <v>109.42033656991666</v>
      </c>
    </row>
    <row r="96" spans="1:15" ht="12.75" x14ac:dyDescent="0.2">
      <c r="A96" s="22" t="s">
        <v>10</v>
      </c>
      <c r="B96" s="22" t="s">
        <v>204</v>
      </c>
      <c r="C96" s="22" t="s">
        <v>204</v>
      </c>
      <c r="D96" s="22" t="s">
        <v>205</v>
      </c>
      <c r="E96" s="22" t="s">
        <v>205</v>
      </c>
      <c r="H96" s="22">
        <v>8</v>
      </c>
      <c r="I96" s="22">
        <v>18.226399999999998</v>
      </c>
      <c r="J96" s="22">
        <f t="shared" si="0"/>
        <v>145.81119999999999</v>
      </c>
      <c r="K96" s="22">
        <f t="shared" ref="K96:K97" si="1">(J96/145.8122)*100</f>
        <v>99.999314186330082</v>
      </c>
      <c r="L96" s="34" t="s">
        <v>220</v>
      </c>
      <c r="M96" s="34"/>
      <c r="N96" s="34"/>
      <c r="O96" s="34"/>
    </row>
    <row r="97" spans="1:13" ht="12.75" x14ac:dyDescent="0.2">
      <c r="A97" s="22" t="s">
        <v>11</v>
      </c>
      <c r="B97" s="22" t="s">
        <v>206</v>
      </c>
      <c r="C97" s="22" t="s">
        <v>206</v>
      </c>
      <c r="D97" s="22" t="s">
        <v>207</v>
      </c>
      <c r="E97" s="22" t="s">
        <v>207</v>
      </c>
      <c r="H97" s="22">
        <v>16</v>
      </c>
      <c r="I97" s="22">
        <v>8.3535699999999995</v>
      </c>
      <c r="J97" s="22">
        <f t="shared" si="0"/>
        <v>133.65711999999999</v>
      </c>
      <c r="K97" s="22">
        <f t="shared" si="1"/>
        <v>91.663879977121255</v>
      </c>
    </row>
    <row r="98" spans="1:13" ht="12.75" x14ac:dyDescent="0.2">
      <c r="A98" s="22" t="s">
        <v>12</v>
      </c>
      <c r="B98" s="22" t="s">
        <v>208</v>
      </c>
      <c r="C98" s="22" t="s">
        <v>208</v>
      </c>
      <c r="D98" s="23" t="s">
        <v>224</v>
      </c>
      <c r="E98" s="23" t="s">
        <v>224</v>
      </c>
    </row>
    <row r="99" spans="1:13" ht="12.75" x14ac:dyDescent="0.2">
      <c r="A99" s="22" t="s">
        <v>13</v>
      </c>
      <c r="B99" s="22" t="s">
        <v>209</v>
      </c>
      <c r="C99" s="22" t="s">
        <v>209</v>
      </c>
      <c r="D99" s="23" t="s">
        <v>225</v>
      </c>
      <c r="E99" s="23" t="s">
        <v>225</v>
      </c>
    </row>
    <row r="100" spans="1:13" ht="12.75" x14ac:dyDescent="0.2">
      <c r="A100" s="22" t="s">
        <v>14</v>
      </c>
      <c r="B100" s="22" t="s">
        <v>210</v>
      </c>
      <c r="C100" s="22" t="s">
        <v>210</v>
      </c>
      <c r="D100" s="23" t="s">
        <v>226</v>
      </c>
      <c r="E100" s="23" t="s">
        <v>226</v>
      </c>
    </row>
    <row r="101" spans="1:13" ht="12.75" x14ac:dyDescent="0.2">
      <c r="A101" s="22" t="s">
        <v>15</v>
      </c>
      <c r="B101" s="22" t="s">
        <v>38</v>
      </c>
      <c r="C101" s="22" t="s">
        <v>38</v>
      </c>
      <c r="D101" s="24" t="s">
        <v>227</v>
      </c>
      <c r="E101" s="24" t="s">
        <v>227</v>
      </c>
      <c r="H101" s="37" t="s">
        <v>222</v>
      </c>
      <c r="I101" s="37"/>
      <c r="J101" s="38"/>
    </row>
    <row r="102" spans="1:13" ht="15" customHeight="1" x14ac:dyDescent="0.2">
      <c r="H102" s="22"/>
      <c r="I102" s="22" t="s">
        <v>217</v>
      </c>
      <c r="J102" s="22" t="s">
        <v>218</v>
      </c>
      <c r="K102" s="22" t="s">
        <v>216</v>
      </c>
    </row>
    <row r="103" spans="1:13" ht="12.75" x14ac:dyDescent="0.2">
      <c r="A103" t="s">
        <v>80</v>
      </c>
      <c r="C103" s="25"/>
      <c r="D103" s="33" t="s">
        <v>211</v>
      </c>
      <c r="E103" s="33"/>
      <c r="F103" s="33"/>
      <c r="H103" s="23" t="s">
        <v>230</v>
      </c>
      <c r="I103" s="23">
        <v>39.9</v>
      </c>
      <c r="J103" s="23">
        <v>44.300350000000002</v>
      </c>
      <c r="K103" s="23">
        <f>(J103/I103)*100</f>
        <v>111.02844611528823</v>
      </c>
    </row>
    <row r="104" spans="1:13" ht="15" customHeight="1" x14ac:dyDescent="0.2">
      <c r="C104" s="26"/>
      <c r="D104" s="34" t="s">
        <v>221</v>
      </c>
      <c r="E104" s="34"/>
      <c r="F104" s="34"/>
      <c r="H104" s="23" t="s">
        <v>229</v>
      </c>
      <c r="I104" s="23">
        <v>39.89</v>
      </c>
      <c r="J104" s="23">
        <v>42.158649999999994</v>
      </c>
      <c r="K104" s="23">
        <f t="shared" ref="K104:K106" si="2">(J104/I104)*100</f>
        <v>105.68726497869139</v>
      </c>
    </row>
    <row r="105" spans="1:13" ht="15" customHeight="1" x14ac:dyDescent="0.2">
      <c r="H105" s="23" t="s">
        <v>228</v>
      </c>
      <c r="I105" s="23">
        <v>39.89</v>
      </c>
      <c r="J105" s="23">
        <v>42.984349999999999</v>
      </c>
      <c r="K105" s="23">
        <f t="shared" si="2"/>
        <v>107.75720732013036</v>
      </c>
    </row>
    <row r="106" spans="1:13" ht="15" customHeight="1" x14ac:dyDescent="0.2">
      <c r="H106" s="24" t="s">
        <v>231</v>
      </c>
      <c r="I106" s="24">
        <v>21.48</v>
      </c>
      <c r="J106" s="24">
        <v>22.697600000000001</v>
      </c>
      <c r="K106" s="24">
        <f t="shared" si="2"/>
        <v>105.6685288640596</v>
      </c>
      <c r="L106" s="1"/>
      <c r="M106" s="1"/>
    </row>
  </sheetData>
  <mergeCells count="4">
    <mergeCell ref="D103:F103"/>
    <mergeCell ref="D104:F104"/>
    <mergeCell ref="L96:O96"/>
    <mergeCell ref="H92:K9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86</v>
      </c>
    </row>
    <row r="3" spans="1:5" ht="15" customHeight="1" x14ac:dyDescent="0.2">
      <c r="B3" t="s">
        <v>87</v>
      </c>
      <c r="E3" t="s">
        <v>88</v>
      </c>
    </row>
    <row r="4" spans="1:5" ht="15" customHeight="1" x14ac:dyDescent="0.2">
      <c r="B4" t="s">
        <v>89</v>
      </c>
      <c r="E4" t="s">
        <v>90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10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6.42578125" customWidth="1"/>
  </cols>
  <sheetData>
    <row r="1" spans="1:5" ht="15" customHeight="1" x14ac:dyDescent="0.2">
      <c r="A1" t="s">
        <v>91</v>
      </c>
    </row>
    <row r="3" spans="1:5" ht="15" customHeight="1" x14ac:dyDescent="0.2">
      <c r="B3" t="s">
        <v>92</v>
      </c>
      <c r="E3" t="s">
        <v>1</v>
      </c>
    </row>
    <row r="4" spans="1:5" ht="15" customHeight="1" x14ac:dyDescent="0.2">
      <c r="B4" t="s">
        <v>93</v>
      </c>
      <c r="E4" t="s">
        <v>94</v>
      </c>
    </row>
    <row r="5" spans="1:5" ht="15" customHeight="1" x14ac:dyDescent="0.2">
      <c r="E5" t="s">
        <v>95</v>
      </c>
    </row>
    <row r="6" spans="1:5" ht="15" customHeight="1" x14ac:dyDescent="0.2">
      <c r="E6" t="s">
        <v>96</v>
      </c>
    </row>
    <row r="7" spans="1:5" ht="15" customHeight="1" x14ac:dyDescent="0.2">
      <c r="E7" t="s">
        <v>97</v>
      </c>
    </row>
    <row r="8" spans="1:5" ht="15" customHeight="1" x14ac:dyDescent="0.2">
      <c r="B8" t="s">
        <v>98</v>
      </c>
      <c r="E8" t="s">
        <v>99</v>
      </c>
    </row>
    <row r="9" spans="1:5" ht="15" customHeight="1" x14ac:dyDescent="0.2">
      <c r="B9" t="s">
        <v>100</v>
      </c>
      <c r="E9" t="s">
        <v>2</v>
      </c>
    </row>
    <row r="10" spans="1:5" ht="15" customHeight="1" x14ac:dyDescent="0.2">
      <c r="A10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3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101</v>
      </c>
    </row>
    <row r="3" spans="1:5" ht="15" customHeight="1" x14ac:dyDescent="0.2">
      <c r="B3" t="s">
        <v>102</v>
      </c>
      <c r="E3" t="s">
        <v>103</v>
      </c>
    </row>
    <row r="4" spans="1:5" ht="15" customHeight="1" x14ac:dyDescent="0.2">
      <c r="B4" t="s">
        <v>104</v>
      </c>
      <c r="E4" t="s">
        <v>105</v>
      </c>
    </row>
    <row r="5" spans="1:5" ht="15" customHeight="1" x14ac:dyDescent="0.2">
      <c r="B5" t="s">
        <v>106</v>
      </c>
      <c r="E5" t="s">
        <v>107</v>
      </c>
    </row>
    <row r="7" spans="1:5" ht="15" customHeight="1" x14ac:dyDescent="0.2">
      <c r="B7" t="s">
        <v>108</v>
      </c>
    </row>
    <row r="9" spans="1:5" ht="15" customHeight="1" x14ac:dyDescent="0.2">
      <c r="B9" t="s">
        <v>109</v>
      </c>
    </row>
    <row r="10" spans="1:5" ht="15" customHeight="1" x14ac:dyDescent="0.2">
      <c r="C10" t="s">
        <v>110</v>
      </c>
      <c r="E10" t="s">
        <v>111</v>
      </c>
    </row>
    <row r="11" spans="1:5" ht="15" customHeight="1" x14ac:dyDescent="0.2">
      <c r="C11" t="s">
        <v>102</v>
      </c>
      <c r="E11" t="s">
        <v>112</v>
      </c>
    </row>
    <row r="12" spans="1:5" ht="15" customHeight="1" x14ac:dyDescent="0.2">
      <c r="C12" t="s">
        <v>113</v>
      </c>
      <c r="E12" t="s">
        <v>114</v>
      </c>
    </row>
    <row r="13" spans="1:5" ht="15" customHeight="1" x14ac:dyDescent="0.2">
      <c r="C13" t="s">
        <v>115</v>
      </c>
      <c r="E13" t="s">
        <v>116</v>
      </c>
    </row>
    <row r="14" spans="1:5" ht="15" customHeight="1" x14ac:dyDescent="0.2">
      <c r="C14" t="s">
        <v>117</v>
      </c>
      <c r="E14" t="s">
        <v>118</v>
      </c>
    </row>
    <row r="15" spans="1:5" ht="15" customHeight="1" x14ac:dyDescent="0.2">
      <c r="C15" t="s">
        <v>119</v>
      </c>
      <c r="E15" t="s">
        <v>120</v>
      </c>
    </row>
    <row r="17" spans="2:5" ht="15" customHeight="1" x14ac:dyDescent="0.2">
      <c r="B17" t="s">
        <v>109</v>
      </c>
    </row>
    <row r="18" spans="2:5" ht="15" customHeight="1" x14ac:dyDescent="0.2">
      <c r="C18" t="s">
        <v>110</v>
      </c>
      <c r="E18" t="s">
        <v>121</v>
      </c>
    </row>
    <row r="19" spans="2:5" ht="15" customHeight="1" x14ac:dyDescent="0.2">
      <c r="C19" t="s">
        <v>102</v>
      </c>
      <c r="E19" t="s">
        <v>122</v>
      </c>
    </row>
    <row r="20" spans="2:5" ht="15" customHeight="1" x14ac:dyDescent="0.2">
      <c r="C20" t="s">
        <v>113</v>
      </c>
      <c r="E20" t="s">
        <v>123</v>
      </c>
    </row>
    <row r="21" spans="2:5" ht="15" customHeight="1" x14ac:dyDescent="0.2">
      <c r="C21" t="s">
        <v>115</v>
      </c>
      <c r="E21" t="s">
        <v>124</v>
      </c>
    </row>
    <row r="22" spans="2:5" ht="15" customHeight="1" x14ac:dyDescent="0.2">
      <c r="C22" t="s">
        <v>117</v>
      </c>
      <c r="E22" t="s">
        <v>118</v>
      </c>
    </row>
    <row r="23" spans="2:5" ht="15" customHeight="1" x14ac:dyDescent="0.2">
      <c r="C23" t="s">
        <v>119</v>
      </c>
      <c r="E23" t="s">
        <v>120</v>
      </c>
    </row>
    <row r="25" spans="2:5" ht="12.75" x14ac:dyDescent="0.2">
      <c r="B25" t="s">
        <v>109</v>
      </c>
    </row>
    <row r="26" spans="2:5" ht="12.75" x14ac:dyDescent="0.2">
      <c r="C26" t="s">
        <v>110</v>
      </c>
      <c r="E26" t="s">
        <v>125</v>
      </c>
    </row>
    <row r="27" spans="2:5" ht="12.75" x14ac:dyDescent="0.2">
      <c r="C27" t="s">
        <v>102</v>
      </c>
      <c r="E27" t="s">
        <v>126</v>
      </c>
    </row>
    <row r="28" spans="2:5" ht="12.75" x14ac:dyDescent="0.2">
      <c r="C28" t="s">
        <v>113</v>
      </c>
      <c r="E28" t="s">
        <v>127</v>
      </c>
    </row>
    <row r="29" spans="2:5" ht="12.75" x14ac:dyDescent="0.2">
      <c r="C29" t="s">
        <v>115</v>
      </c>
      <c r="E29" t="s">
        <v>124</v>
      </c>
    </row>
    <row r="30" spans="2:5" ht="12.75" x14ac:dyDescent="0.2">
      <c r="C30" t="s">
        <v>117</v>
      </c>
      <c r="E30" t="s">
        <v>118</v>
      </c>
    </row>
    <row r="31" spans="2:5" ht="12.75" x14ac:dyDescent="0.2">
      <c r="C31" t="s">
        <v>119</v>
      </c>
      <c r="E31" t="s">
        <v>120</v>
      </c>
    </row>
    <row r="32" spans="2:5" ht="12.75" x14ac:dyDescent="0.2"/>
    <row r="33" spans="2:5" ht="12.75" x14ac:dyDescent="0.2">
      <c r="B33" t="s">
        <v>128</v>
      </c>
    </row>
    <row r="34" spans="2:5" ht="12.75" x14ac:dyDescent="0.2">
      <c r="C34" t="s">
        <v>129</v>
      </c>
      <c r="E34" t="s">
        <v>130</v>
      </c>
    </row>
    <row r="35" spans="2:5" ht="12.75" x14ac:dyDescent="0.2">
      <c r="C35" t="s">
        <v>102</v>
      </c>
      <c r="E35" t="s">
        <v>131</v>
      </c>
    </row>
    <row r="36" spans="2:5" ht="12.75" x14ac:dyDescent="0.2">
      <c r="C36" t="s">
        <v>132</v>
      </c>
      <c r="E36" t="s">
        <v>133</v>
      </c>
    </row>
    <row r="37" spans="2:5" ht="12.75" x14ac:dyDescent="0.2">
      <c r="C37" t="s">
        <v>115</v>
      </c>
      <c r="E37" t="s">
        <v>134</v>
      </c>
    </row>
    <row r="38" spans="2:5" ht="12.75" x14ac:dyDescent="0.2">
      <c r="C38" t="s">
        <v>117</v>
      </c>
      <c r="E38" t="s">
        <v>118</v>
      </c>
    </row>
    <row r="39" spans="2:5" ht="12.75" x14ac:dyDescent="0.2">
      <c r="C39" t="s">
        <v>119</v>
      </c>
      <c r="E39" t="s">
        <v>120</v>
      </c>
    </row>
    <row r="40" spans="2:5" ht="12.75" x14ac:dyDescent="0.2"/>
    <row r="41" spans="2:5" ht="12.75" x14ac:dyDescent="0.2">
      <c r="B41" t="s">
        <v>128</v>
      </c>
    </row>
    <row r="42" spans="2:5" ht="12.75" x14ac:dyDescent="0.2">
      <c r="C42" t="s">
        <v>129</v>
      </c>
      <c r="E42" t="s">
        <v>135</v>
      </c>
    </row>
    <row r="43" spans="2:5" ht="12.75" x14ac:dyDescent="0.2">
      <c r="C43" t="s">
        <v>102</v>
      </c>
      <c r="E43" t="s">
        <v>136</v>
      </c>
    </row>
    <row r="44" spans="2:5" ht="12.75" x14ac:dyDescent="0.2">
      <c r="C44" t="s">
        <v>132</v>
      </c>
      <c r="E44" t="s">
        <v>137</v>
      </c>
    </row>
    <row r="45" spans="2:5" ht="12.75" x14ac:dyDescent="0.2">
      <c r="C45" t="s">
        <v>115</v>
      </c>
      <c r="E45" t="s">
        <v>124</v>
      </c>
    </row>
    <row r="46" spans="2:5" ht="12.75" x14ac:dyDescent="0.2">
      <c r="C46" t="s">
        <v>117</v>
      </c>
      <c r="E46" t="s">
        <v>118</v>
      </c>
    </row>
    <row r="47" spans="2:5" ht="12.75" x14ac:dyDescent="0.2">
      <c r="C47" t="s">
        <v>119</v>
      </c>
      <c r="E47" t="s">
        <v>120</v>
      </c>
    </row>
    <row r="48" spans="2:5" ht="12.75" x14ac:dyDescent="0.2"/>
    <row r="49" spans="2:5" ht="12.75" x14ac:dyDescent="0.2">
      <c r="B49" t="s">
        <v>128</v>
      </c>
    </row>
    <row r="50" spans="2:5" ht="12.75" x14ac:dyDescent="0.2">
      <c r="C50" t="s">
        <v>129</v>
      </c>
      <c r="E50" t="s">
        <v>138</v>
      </c>
    </row>
    <row r="51" spans="2:5" ht="12.75" x14ac:dyDescent="0.2">
      <c r="C51" t="s">
        <v>102</v>
      </c>
      <c r="E51" t="s">
        <v>139</v>
      </c>
    </row>
    <row r="52" spans="2:5" ht="12.75" x14ac:dyDescent="0.2">
      <c r="C52" t="s">
        <v>132</v>
      </c>
      <c r="E52" t="s">
        <v>140</v>
      </c>
    </row>
    <row r="53" spans="2:5" ht="12.75" x14ac:dyDescent="0.2">
      <c r="C53" t="s">
        <v>115</v>
      </c>
      <c r="E53" t="s">
        <v>141</v>
      </c>
    </row>
    <row r="54" spans="2:5" ht="12.75" x14ac:dyDescent="0.2">
      <c r="C54" t="s">
        <v>117</v>
      </c>
      <c r="E54" t="s">
        <v>118</v>
      </c>
    </row>
    <row r="55" spans="2:5" ht="12.75" x14ac:dyDescent="0.2">
      <c r="C55" t="s">
        <v>119</v>
      </c>
      <c r="E55" t="s">
        <v>120</v>
      </c>
    </row>
    <row r="56" spans="2:5" ht="12.75" x14ac:dyDescent="0.2"/>
    <row r="57" spans="2:5" ht="12.75" x14ac:dyDescent="0.2">
      <c r="B57" t="s">
        <v>142</v>
      </c>
    </row>
    <row r="58" spans="2:5" ht="12.75" x14ac:dyDescent="0.2">
      <c r="C58" t="s">
        <v>102</v>
      </c>
      <c r="E58" t="s">
        <v>143</v>
      </c>
    </row>
    <row r="59" spans="2:5" ht="12.75" x14ac:dyDescent="0.2">
      <c r="C59" t="s">
        <v>110</v>
      </c>
      <c r="E59" t="s">
        <v>111</v>
      </c>
    </row>
    <row r="60" spans="2:5" ht="12.75" x14ac:dyDescent="0.2">
      <c r="C60" t="s">
        <v>102</v>
      </c>
      <c r="E60" t="s">
        <v>112</v>
      </c>
    </row>
    <row r="61" spans="2:5" ht="12.75" x14ac:dyDescent="0.2">
      <c r="C61" t="s">
        <v>113</v>
      </c>
      <c r="E61" t="s">
        <v>114</v>
      </c>
    </row>
    <row r="62" spans="2:5" ht="12.75" x14ac:dyDescent="0.2">
      <c r="C62" t="s">
        <v>129</v>
      </c>
      <c r="E62" t="s">
        <v>130</v>
      </c>
    </row>
    <row r="63" spans="2:5" ht="12.75" x14ac:dyDescent="0.2">
      <c r="C63" t="s">
        <v>102</v>
      </c>
      <c r="E63" t="s">
        <v>131</v>
      </c>
    </row>
    <row r="64" spans="2:5" ht="12.75" x14ac:dyDescent="0.2">
      <c r="C64" t="s">
        <v>132</v>
      </c>
      <c r="E64" t="s">
        <v>133</v>
      </c>
    </row>
    <row r="65" spans="2:5" ht="12.75" x14ac:dyDescent="0.2">
      <c r="C65" t="s">
        <v>117</v>
      </c>
      <c r="E65" t="s">
        <v>118</v>
      </c>
    </row>
    <row r="66" spans="2:5" ht="12.75" x14ac:dyDescent="0.2">
      <c r="C66" t="s">
        <v>144</v>
      </c>
      <c r="E66" t="s">
        <v>145</v>
      </c>
    </row>
    <row r="67" spans="2:5" ht="12.75" x14ac:dyDescent="0.2"/>
    <row r="68" spans="2:5" ht="12.75" x14ac:dyDescent="0.2">
      <c r="B68" t="s">
        <v>142</v>
      </c>
    </row>
    <row r="69" spans="2:5" ht="12.75" x14ac:dyDescent="0.2">
      <c r="C69" t="s">
        <v>102</v>
      </c>
      <c r="E69" t="s">
        <v>146</v>
      </c>
    </row>
    <row r="70" spans="2:5" ht="12.75" x14ac:dyDescent="0.2">
      <c r="C70" t="s">
        <v>110</v>
      </c>
      <c r="E70" t="s">
        <v>121</v>
      </c>
    </row>
    <row r="71" spans="2:5" ht="12.75" x14ac:dyDescent="0.2">
      <c r="C71" t="s">
        <v>102</v>
      </c>
      <c r="E71" t="s">
        <v>122</v>
      </c>
    </row>
    <row r="72" spans="2:5" ht="12.75" x14ac:dyDescent="0.2">
      <c r="C72" t="s">
        <v>113</v>
      </c>
      <c r="E72" t="s">
        <v>123</v>
      </c>
    </row>
    <row r="73" spans="2:5" ht="12.75" x14ac:dyDescent="0.2">
      <c r="C73" t="s">
        <v>129</v>
      </c>
      <c r="E73" t="s">
        <v>135</v>
      </c>
    </row>
    <row r="74" spans="2:5" ht="12.75" x14ac:dyDescent="0.2">
      <c r="C74" t="s">
        <v>102</v>
      </c>
      <c r="E74" t="s">
        <v>136</v>
      </c>
    </row>
    <row r="75" spans="2:5" ht="12.75" x14ac:dyDescent="0.2">
      <c r="C75" t="s">
        <v>132</v>
      </c>
      <c r="E75" t="s">
        <v>137</v>
      </c>
    </row>
    <row r="76" spans="2:5" ht="12.75" x14ac:dyDescent="0.2">
      <c r="C76" t="s">
        <v>117</v>
      </c>
      <c r="E76" t="s">
        <v>118</v>
      </c>
    </row>
    <row r="77" spans="2:5" ht="12.75" x14ac:dyDescent="0.2">
      <c r="C77" t="s">
        <v>144</v>
      </c>
      <c r="E77" t="s">
        <v>145</v>
      </c>
    </row>
    <row r="78" spans="2:5" ht="12.75" x14ac:dyDescent="0.2"/>
    <row r="79" spans="2:5" ht="12.75" x14ac:dyDescent="0.2">
      <c r="B79" t="s">
        <v>142</v>
      </c>
    </row>
    <row r="80" spans="2:5" ht="12.75" x14ac:dyDescent="0.2">
      <c r="C80" t="s">
        <v>102</v>
      </c>
      <c r="E80" t="s">
        <v>147</v>
      </c>
    </row>
    <row r="81" spans="3:5" ht="12.75" x14ac:dyDescent="0.2">
      <c r="C81" t="s">
        <v>110</v>
      </c>
      <c r="E81" t="s">
        <v>125</v>
      </c>
    </row>
    <row r="82" spans="3:5" ht="12.75" x14ac:dyDescent="0.2">
      <c r="C82" t="s">
        <v>102</v>
      </c>
      <c r="E82" t="s">
        <v>126</v>
      </c>
    </row>
    <row r="83" spans="3:5" ht="12.75" x14ac:dyDescent="0.2">
      <c r="C83" t="s">
        <v>113</v>
      </c>
      <c r="E83" t="s">
        <v>127</v>
      </c>
    </row>
    <row r="84" spans="3:5" ht="12.75" x14ac:dyDescent="0.2">
      <c r="C84" t="s">
        <v>129</v>
      </c>
      <c r="E84" t="s">
        <v>138</v>
      </c>
    </row>
    <row r="85" spans="3:5" ht="12.75" x14ac:dyDescent="0.2">
      <c r="C85" t="s">
        <v>102</v>
      </c>
      <c r="E85" t="s">
        <v>139</v>
      </c>
    </row>
    <row r="86" spans="3:5" ht="12.75" x14ac:dyDescent="0.2">
      <c r="C86" t="s">
        <v>132</v>
      </c>
      <c r="E86" t="s">
        <v>140</v>
      </c>
    </row>
    <row r="87" spans="3:5" ht="12.75" x14ac:dyDescent="0.2">
      <c r="C87" t="s">
        <v>117</v>
      </c>
      <c r="E87" t="s">
        <v>118</v>
      </c>
    </row>
    <row r="88" spans="3:5" ht="12.75" x14ac:dyDescent="0.2">
      <c r="C88" t="s">
        <v>144</v>
      </c>
      <c r="E88" t="s">
        <v>145</v>
      </c>
    </row>
    <row r="89" spans="3:5" ht="12.75" x14ac:dyDescent="0.2"/>
    <row r="90" spans="3:5" ht="12.75" x14ac:dyDescent="0.2">
      <c r="C90" t="s">
        <v>148</v>
      </c>
      <c r="E90" t="s">
        <v>118</v>
      </c>
    </row>
    <row r="91" spans="3:5" ht="12.75" x14ac:dyDescent="0.2">
      <c r="C91" t="s">
        <v>149</v>
      </c>
      <c r="E91" t="s">
        <v>150</v>
      </c>
    </row>
    <row r="92" spans="3:5" ht="12.75" x14ac:dyDescent="0.2">
      <c r="C92" t="s">
        <v>151</v>
      </c>
      <c r="E92" t="s">
        <v>118</v>
      </c>
    </row>
    <row r="93" spans="3:5" ht="12.75" x14ac:dyDescent="0.2">
      <c r="C93" t="s">
        <v>152</v>
      </c>
      <c r="E93" t="s">
        <v>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153</v>
      </c>
    </row>
    <row r="3" spans="1:5" ht="15" customHeight="1" x14ac:dyDescent="0.2">
      <c r="B3" t="s">
        <v>154</v>
      </c>
      <c r="E3" t="s">
        <v>145</v>
      </c>
    </row>
    <row r="4" spans="1:5" ht="15" customHeight="1" x14ac:dyDescent="0.2">
      <c r="B4" t="s">
        <v>155</v>
      </c>
      <c r="E4" t="s">
        <v>150</v>
      </c>
    </row>
    <row r="5" spans="1:5" ht="15" customHeight="1" x14ac:dyDescent="0.2">
      <c r="B5" t="s">
        <v>156</v>
      </c>
      <c r="E5" t="s">
        <v>150</v>
      </c>
    </row>
    <row r="7" spans="1:5" ht="15" customHeight="1" x14ac:dyDescent="0.2">
      <c r="A7" t="s">
        <v>157</v>
      </c>
    </row>
    <row r="9" spans="1:5" ht="15" customHeight="1" x14ac:dyDescent="0.2">
      <c r="B9" t="s">
        <v>158</v>
      </c>
      <c r="E9" t="s">
        <v>159</v>
      </c>
    </row>
    <row r="10" spans="1:5" ht="15" customHeight="1" x14ac:dyDescent="0.2">
      <c r="B10" t="s">
        <v>160</v>
      </c>
      <c r="E10" t="s">
        <v>161</v>
      </c>
    </row>
    <row r="11" spans="1:5" ht="15" customHeight="1" x14ac:dyDescent="0.2">
      <c r="B11" t="s">
        <v>162</v>
      </c>
      <c r="E11" t="s">
        <v>163</v>
      </c>
    </row>
    <row r="12" spans="1:5" ht="15" customHeight="1" x14ac:dyDescent="0.2">
      <c r="B12" t="s">
        <v>164</v>
      </c>
      <c r="E12" t="s">
        <v>165</v>
      </c>
    </row>
    <row r="14" spans="1:5" ht="15" customHeight="1" x14ac:dyDescent="0.2">
      <c r="A14" t="s">
        <v>4</v>
      </c>
    </row>
    <row r="16" spans="1:5" ht="15" customHeight="1" x14ac:dyDescent="0.2">
      <c r="B16" t="s">
        <v>166</v>
      </c>
      <c r="E16" t="s">
        <v>133</v>
      </c>
    </row>
    <row r="17" spans="2:5" ht="15" customHeight="1" x14ac:dyDescent="0.2">
      <c r="B17" t="s">
        <v>167</v>
      </c>
      <c r="E17" t="s">
        <v>150</v>
      </c>
    </row>
    <row r="18" spans="2:5" ht="15" customHeight="1" x14ac:dyDescent="0.2">
      <c r="B18" t="s">
        <v>168</v>
      </c>
      <c r="E18" t="s">
        <v>169</v>
      </c>
    </row>
    <row r="19" spans="2:5" ht="15" customHeight="1" x14ac:dyDescent="0.2">
      <c r="B19" t="s">
        <v>170</v>
      </c>
      <c r="E19" t="s">
        <v>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60.85546875" customWidth="1"/>
    <col min="4" max="4" width="11.85546875" customWidth="1"/>
  </cols>
  <sheetData>
    <row r="1" spans="1:5" ht="15" customHeight="1" x14ac:dyDescent="0.2">
      <c r="A1" t="s">
        <v>171</v>
      </c>
    </row>
    <row r="3" spans="1:5" ht="15" customHeight="1" x14ac:dyDescent="0.2">
      <c r="B3" s="11" t="s">
        <v>172</v>
      </c>
      <c r="C3" s="11" t="s">
        <v>173</v>
      </c>
      <c r="D3" s="11" t="s">
        <v>174</v>
      </c>
      <c r="E3" s="11"/>
    </row>
    <row r="4" spans="1:5" ht="15" customHeight="1" x14ac:dyDescent="0.2">
      <c r="B4" t="s">
        <v>2</v>
      </c>
      <c r="C4" t="s">
        <v>175</v>
      </c>
    </row>
    <row r="5" spans="1:5" ht="15" customHeight="1" x14ac:dyDescent="0.2">
      <c r="B5" t="s">
        <v>2</v>
      </c>
      <c r="C5" t="s">
        <v>176</v>
      </c>
      <c r="D5" t="s">
        <v>177</v>
      </c>
    </row>
    <row r="6" spans="1:5" ht="15" customHeight="1" x14ac:dyDescent="0.2">
      <c r="B6" t="s">
        <v>178</v>
      </c>
      <c r="C6" t="s">
        <v>179</v>
      </c>
    </row>
    <row r="7" spans="1:5" ht="15" customHeight="1" x14ac:dyDescent="0.2">
      <c r="B7" t="s">
        <v>180</v>
      </c>
      <c r="C7" t="s">
        <v>181</v>
      </c>
    </row>
    <row r="8" spans="1:5" ht="15" customHeight="1" x14ac:dyDescent="0.2">
      <c r="B8" t="s">
        <v>180</v>
      </c>
      <c r="C8" t="s">
        <v>182</v>
      </c>
    </row>
    <row r="9" spans="1:5" ht="15" customHeight="1" x14ac:dyDescent="0.2">
      <c r="B9" t="s">
        <v>183</v>
      </c>
      <c r="C9" t="s">
        <v>176</v>
      </c>
      <c r="D9" t="s">
        <v>184</v>
      </c>
    </row>
    <row r="10" spans="1:5" ht="15" customHeight="1" x14ac:dyDescent="0.2">
      <c r="B10" t="s">
        <v>185</v>
      </c>
      <c r="C10" t="s">
        <v>186</v>
      </c>
    </row>
    <row r="11" spans="1:5" ht="15" customHeight="1" x14ac:dyDescent="0.2">
      <c r="B11" t="s">
        <v>185</v>
      </c>
      <c r="C11" t="s">
        <v>176</v>
      </c>
      <c r="D11" t="s">
        <v>184</v>
      </c>
    </row>
    <row r="12" spans="1:5" ht="15" customHeight="1" x14ac:dyDescent="0.2">
      <c r="B12" t="s">
        <v>187</v>
      </c>
      <c r="C12" t="s">
        <v>188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102</v>
      </c>
      <c r="B1" t="s">
        <v>6</v>
      </c>
    </row>
    <row r="2" spans="1:13" ht="15" customHeight="1" x14ac:dyDescent="0.2">
      <c r="A2" t="s">
        <v>189</v>
      </c>
      <c r="B2" t="s">
        <v>190</v>
      </c>
    </row>
    <row r="4" spans="1:13" ht="15" customHeight="1" x14ac:dyDescent="0.2">
      <c r="B4" s="12">
        <v>1</v>
      </c>
      <c r="C4" s="12">
        <v>2</v>
      </c>
      <c r="D4" s="12">
        <v>3</v>
      </c>
      <c r="E4" s="12">
        <v>4</v>
      </c>
      <c r="F4" s="12">
        <v>5</v>
      </c>
      <c r="G4" s="12">
        <v>6</v>
      </c>
      <c r="H4" s="12">
        <v>7</v>
      </c>
      <c r="I4" s="12">
        <v>8</v>
      </c>
      <c r="J4" s="12">
        <v>9</v>
      </c>
      <c r="K4" s="12">
        <v>10</v>
      </c>
      <c r="L4" s="12">
        <v>11</v>
      </c>
      <c r="M4" s="12">
        <v>12</v>
      </c>
    </row>
    <row r="5" spans="1:13" ht="15" customHeight="1" x14ac:dyDescent="0.2">
      <c r="A5" s="36" t="s">
        <v>8</v>
      </c>
      <c r="B5" s="13" t="s">
        <v>17</v>
      </c>
      <c r="C5" s="13" t="s">
        <v>17</v>
      </c>
      <c r="D5" s="14" t="s">
        <v>18</v>
      </c>
      <c r="E5" s="14" t="s">
        <v>19</v>
      </c>
      <c r="F5" s="35"/>
      <c r="G5" s="35"/>
      <c r="H5" s="35"/>
      <c r="I5" s="35"/>
      <c r="J5" s="35"/>
      <c r="K5" s="35"/>
      <c r="L5" s="35"/>
      <c r="M5" s="35"/>
    </row>
    <row r="6" spans="1:13" ht="15" customHeight="1" x14ac:dyDescent="0.2">
      <c r="A6" s="35"/>
      <c r="B6" s="15" t="s">
        <v>191</v>
      </c>
      <c r="C6" s="15" t="s">
        <v>191</v>
      </c>
      <c r="D6" s="16" t="s">
        <v>191</v>
      </c>
      <c r="E6" s="16" t="s">
        <v>191</v>
      </c>
      <c r="F6" s="35"/>
      <c r="G6" s="35"/>
      <c r="H6" s="35"/>
      <c r="I6" s="35"/>
      <c r="J6" s="35"/>
      <c r="K6" s="35"/>
      <c r="L6" s="35"/>
      <c r="M6" s="35"/>
    </row>
    <row r="7" spans="1:13" ht="15" customHeight="1" x14ac:dyDescent="0.2">
      <c r="A7" s="35"/>
      <c r="B7" s="17" t="s">
        <v>192</v>
      </c>
      <c r="C7" s="17" t="s">
        <v>192</v>
      </c>
      <c r="D7" s="18" t="s">
        <v>193</v>
      </c>
      <c r="E7" s="18" t="s">
        <v>193</v>
      </c>
      <c r="F7" s="35"/>
      <c r="G7" s="35"/>
      <c r="H7" s="35"/>
      <c r="I7" s="35"/>
      <c r="J7" s="35"/>
      <c r="K7" s="35"/>
      <c r="L7" s="35"/>
      <c r="M7" s="35"/>
    </row>
    <row r="8" spans="1:13" ht="15" customHeight="1" x14ac:dyDescent="0.2">
      <c r="A8" s="36" t="s">
        <v>9</v>
      </c>
      <c r="B8" s="13" t="s">
        <v>20</v>
      </c>
      <c r="C8" s="13" t="s">
        <v>20</v>
      </c>
      <c r="D8" s="14" t="s">
        <v>21</v>
      </c>
      <c r="E8" s="14" t="s">
        <v>22</v>
      </c>
      <c r="F8" s="35"/>
      <c r="G8" s="35"/>
      <c r="H8" s="35"/>
      <c r="I8" s="35"/>
      <c r="J8" s="35"/>
      <c r="K8" s="35"/>
      <c r="L8" s="35"/>
      <c r="M8" s="35"/>
    </row>
    <row r="9" spans="1:13" ht="15" customHeight="1" x14ac:dyDescent="0.2">
      <c r="A9" s="35"/>
      <c r="B9" s="15" t="s">
        <v>191</v>
      </c>
      <c r="C9" s="15" t="s">
        <v>191</v>
      </c>
      <c r="D9" s="16" t="s">
        <v>191</v>
      </c>
      <c r="E9" s="16" t="s">
        <v>191</v>
      </c>
      <c r="F9" s="35"/>
      <c r="G9" s="35"/>
      <c r="H9" s="35"/>
      <c r="I9" s="35"/>
      <c r="J9" s="35"/>
      <c r="K9" s="35"/>
      <c r="L9" s="35"/>
      <c r="M9" s="35"/>
    </row>
    <row r="10" spans="1:13" ht="15" customHeight="1" x14ac:dyDescent="0.2">
      <c r="A10" s="35"/>
      <c r="B10" s="17" t="s">
        <v>194</v>
      </c>
      <c r="C10" s="17" t="s">
        <v>194</v>
      </c>
      <c r="D10" s="18" t="s">
        <v>193</v>
      </c>
      <c r="E10" s="18" t="s">
        <v>193</v>
      </c>
      <c r="F10" s="35"/>
      <c r="G10" s="35"/>
      <c r="H10" s="35"/>
      <c r="I10" s="35"/>
      <c r="J10" s="35"/>
      <c r="K10" s="35"/>
      <c r="L10" s="35"/>
      <c r="M10" s="35"/>
    </row>
    <row r="11" spans="1:13" ht="15" customHeight="1" x14ac:dyDescent="0.2">
      <c r="A11" s="36" t="s">
        <v>10</v>
      </c>
      <c r="B11" s="13" t="s">
        <v>23</v>
      </c>
      <c r="C11" s="13" t="s">
        <v>23</v>
      </c>
      <c r="D11" s="14" t="s">
        <v>24</v>
      </c>
      <c r="E11" s="14" t="s">
        <v>25</v>
      </c>
      <c r="F11" s="35"/>
      <c r="G11" s="35"/>
      <c r="H11" s="35"/>
      <c r="I11" s="35"/>
      <c r="J11" s="35"/>
      <c r="K11" s="35"/>
      <c r="L11" s="35"/>
      <c r="M11" s="35"/>
    </row>
    <row r="12" spans="1:13" ht="15" customHeight="1" x14ac:dyDescent="0.2">
      <c r="A12" s="35"/>
      <c r="B12" s="15" t="s">
        <v>191</v>
      </c>
      <c r="C12" s="15" t="s">
        <v>191</v>
      </c>
      <c r="D12" s="16" t="s">
        <v>191</v>
      </c>
      <c r="E12" s="16" t="s">
        <v>191</v>
      </c>
      <c r="F12" s="35"/>
      <c r="G12" s="35"/>
      <c r="H12" s="35"/>
      <c r="I12" s="35"/>
      <c r="J12" s="35"/>
      <c r="K12" s="35"/>
      <c r="L12" s="35"/>
      <c r="M12" s="35"/>
    </row>
    <row r="13" spans="1:13" ht="15" customHeight="1" x14ac:dyDescent="0.2">
      <c r="A13" s="35"/>
      <c r="B13" s="17" t="s">
        <v>195</v>
      </c>
      <c r="C13" s="17" t="s">
        <v>195</v>
      </c>
      <c r="D13" s="18" t="s">
        <v>193</v>
      </c>
      <c r="E13" s="18" t="s">
        <v>193</v>
      </c>
      <c r="F13" s="35"/>
      <c r="G13" s="35"/>
      <c r="H13" s="35"/>
      <c r="I13" s="35"/>
      <c r="J13" s="35"/>
      <c r="K13" s="35"/>
      <c r="L13" s="35"/>
      <c r="M13" s="35"/>
    </row>
    <row r="14" spans="1:13" ht="15" customHeight="1" x14ac:dyDescent="0.2">
      <c r="A14" s="36" t="s">
        <v>11</v>
      </c>
      <c r="B14" s="13" t="s">
        <v>26</v>
      </c>
      <c r="C14" s="13" t="s">
        <v>26</v>
      </c>
      <c r="D14" s="14" t="s">
        <v>27</v>
      </c>
      <c r="E14" s="14" t="s">
        <v>28</v>
      </c>
      <c r="F14" s="35"/>
      <c r="G14" s="35"/>
      <c r="H14" s="35"/>
      <c r="I14" s="35"/>
      <c r="J14" s="35"/>
      <c r="K14" s="35"/>
      <c r="L14" s="35"/>
      <c r="M14" s="35"/>
    </row>
    <row r="15" spans="1:13" ht="15" customHeight="1" x14ac:dyDescent="0.2">
      <c r="A15" s="35"/>
      <c r="B15" s="15" t="s">
        <v>191</v>
      </c>
      <c r="C15" s="15" t="s">
        <v>191</v>
      </c>
      <c r="D15" s="16" t="s">
        <v>191</v>
      </c>
      <c r="E15" s="16" t="s">
        <v>191</v>
      </c>
      <c r="F15" s="35"/>
      <c r="G15" s="35"/>
      <c r="H15" s="35"/>
      <c r="I15" s="35"/>
      <c r="J15" s="35"/>
      <c r="K15" s="35"/>
      <c r="L15" s="35"/>
      <c r="M15" s="35"/>
    </row>
    <row r="16" spans="1:13" ht="15" customHeight="1" x14ac:dyDescent="0.2">
      <c r="A16" s="35"/>
      <c r="B16" s="17" t="s">
        <v>196</v>
      </c>
      <c r="C16" s="17" t="s">
        <v>196</v>
      </c>
      <c r="D16" s="18" t="s">
        <v>193</v>
      </c>
      <c r="E16" s="18" t="s">
        <v>193</v>
      </c>
      <c r="F16" s="35"/>
      <c r="G16" s="35"/>
      <c r="H16" s="35"/>
      <c r="I16" s="35"/>
      <c r="J16" s="35"/>
      <c r="K16" s="35"/>
      <c r="L16" s="35"/>
      <c r="M16" s="35"/>
    </row>
    <row r="17" spans="1:13" ht="15" customHeight="1" x14ac:dyDescent="0.2">
      <c r="A17" s="36" t="s">
        <v>12</v>
      </c>
      <c r="B17" s="13" t="s">
        <v>29</v>
      </c>
      <c r="C17" s="13" t="s">
        <v>29</v>
      </c>
      <c r="D17" s="14" t="s">
        <v>30</v>
      </c>
      <c r="E17" s="14" t="s">
        <v>31</v>
      </c>
      <c r="F17" s="35"/>
      <c r="G17" s="35"/>
      <c r="H17" s="35"/>
      <c r="I17" s="35"/>
      <c r="J17" s="35"/>
      <c r="K17" s="35"/>
      <c r="L17" s="35"/>
      <c r="M17" s="35"/>
    </row>
    <row r="18" spans="1:13" ht="15" customHeight="1" x14ac:dyDescent="0.2">
      <c r="A18" s="35"/>
      <c r="B18" s="15" t="s">
        <v>191</v>
      </c>
      <c r="C18" s="15" t="s">
        <v>191</v>
      </c>
      <c r="D18" s="16" t="s">
        <v>191</v>
      </c>
      <c r="E18" s="16" t="s">
        <v>191</v>
      </c>
      <c r="F18" s="35"/>
      <c r="G18" s="35"/>
      <c r="H18" s="35"/>
      <c r="I18" s="35"/>
      <c r="J18" s="35"/>
      <c r="K18" s="35"/>
      <c r="L18" s="35"/>
      <c r="M18" s="35"/>
    </row>
    <row r="19" spans="1:13" ht="15" customHeight="1" x14ac:dyDescent="0.2">
      <c r="A19" s="35"/>
      <c r="B19" s="17" t="s">
        <v>197</v>
      </c>
      <c r="C19" s="17" t="s">
        <v>197</v>
      </c>
      <c r="D19" s="18" t="s">
        <v>193</v>
      </c>
      <c r="E19" s="18" t="s">
        <v>193</v>
      </c>
      <c r="F19" s="35"/>
      <c r="G19" s="35"/>
      <c r="H19" s="35"/>
      <c r="I19" s="35"/>
      <c r="J19" s="35"/>
      <c r="K19" s="35"/>
      <c r="L19" s="35"/>
      <c r="M19" s="35"/>
    </row>
    <row r="20" spans="1:13" ht="15" customHeight="1" x14ac:dyDescent="0.2">
      <c r="A20" s="36" t="s">
        <v>13</v>
      </c>
      <c r="B20" s="13" t="s">
        <v>32</v>
      </c>
      <c r="C20" s="13" t="s">
        <v>32</v>
      </c>
      <c r="D20" s="14" t="s">
        <v>33</v>
      </c>
      <c r="E20" s="14" t="s">
        <v>34</v>
      </c>
      <c r="F20" s="35"/>
      <c r="G20" s="35"/>
      <c r="H20" s="35"/>
      <c r="I20" s="35"/>
      <c r="J20" s="35"/>
      <c r="K20" s="35"/>
      <c r="L20" s="35"/>
      <c r="M20" s="35"/>
    </row>
    <row r="21" spans="1:13" ht="15" customHeight="1" x14ac:dyDescent="0.2">
      <c r="A21" s="35"/>
      <c r="B21" s="15" t="s">
        <v>191</v>
      </c>
      <c r="C21" s="15" t="s">
        <v>191</v>
      </c>
      <c r="D21" s="16" t="s">
        <v>191</v>
      </c>
      <c r="E21" s="16" t="s">
        <v>191</v>
      </c>
      <c r="F21" s="35"/>
      <c r="G21" s="35"/>
      <c r="H21" s="35"/>
      <c r="I21" s="35"/>
      <c r="J21" s="35"/>
      <c r="K21" s="35"/>
      <c r="L21" s="35"/>
      <c r="M21" s="35"/>
    </row>
    <row r="22" spans="1:13" ht="15" customHeight="1" x14ac:dyDescent="0.2">
      <c r="A22" s="35"/>
      <c r="B22" s="17" t="s">
        <v>198</v>
      </c>
      <c r="C22" s="17" t="s">
        <v>198</v>
      </c>
      <c r="D22" s="18" t="s">
        <v>193</v>
      </c>
      <c r="E22" s="18" t="s">
        <v>193</v>
      </c>
      <c r="F22" s="35"/>
      <c r="G22" s="35"/>
      <c r="H22" s="35"/>
      <c r="I22" s="35"/>
      <c r="J22" s="35"/>
      <c r="K22" s="35"/>
      <c r="L22" s="35"/>
      <c r="M22" s="35"/>
    </row>
    <row r="23" spans="1:13" ht="15" customHeight="1" x14ac:dyDescent="0.2">
      <c r="A23" s="36" t="s">
        <v>14</v>
      </c>
      <c r="B23" s="13" t="s">
        <v>35</v>
      </c>
      <c r="C23" s="13" t="s">
        <v>35</v>
      </c>
      <c r="D23" s="14" t="s">
        <v>36</v>
      </c>
      <c r="E23" s="14" t="s">
        <v>37</v>
      </c>
      <c r="F23" s="35"/>
      <c r="G23" s="35"/>
      <c r="H23" s="35"/>
      <c r="I23" s="35"/>
      <c r="J23" s="35"/>
      <c r="K23" s="35"/>
      <c r="L23" s="35"/>
      <c r="M23" s="35"/>
    </row>
    <row r="24" spans="1:13" ht="15" customHeight="1" x14ac:dyDescent="0.2">
      <c r="A24" s="35"/>
      <c r="B24" s="15" t="s">
        <v>191</v>
      </c>
      <c r="C24" s="15" t="s">
        <v>191</v>
      </c>
      <c r="D24" s="16" t="s">
        <v>191</v>
      </c>
      <c r="E24" s="16" t="s">
        <v>191</v>
      </c>
      <c r="F24" s="35"/>
      <c r="G24" s="35"/>
      <c r="H24" s="35"/>
      <c r="I24" s="35"/>
      <c r="J24" s="35"/>
      <c r="K24" s="35"/>
      <c r="L24" s="35"/>
      <c r="M24" s="35"/>
    </row>
    <row r="25" spans="1:13" ht="12.75" x14ac:dyDescent="0.2">
      <c r="A25" s="35"/>
      <c r="B25" s="17" t="s">
        <v>199</v>
      </c>
      <c r="C25" s="17" t="s">
        <v>199</v>
      </c>
      <c r="D25" s="18" t="s">
        <v>193</v>
      </c>
      <c r="E25" s="18" t="s">
        <v>193</v>
      </c>
      <c r="F25" s="35"/>
      <c r="G25" s="35"/>
      <c r="H25" s="35"/>
      <c r="I25" s="35"/>
      <c r="J25" s="35"/>
      <c r="K25" s="35"/>
      <c r="L25" s="35"/>
      <c r="M25" s="35"/>
    </row>
    <row r="26" spans="1:13" ht="12.75" x14ac:dyDescent="0.2">
      <c r="A26" s="36" t="s">
        <v>15</v>
      </c>
      <c r="B26" s="19" t="s">
        <v>38</v>
      </c>
      <c r="C26" s="19" t="s">
        <v>38</v>
      </c>
      <c r="D26" s="14" t="s">
        <v>39</v>
      </c>
      <c r="E26" s="14" t="s">
        <v>40</v>
      </c>
      <c r="F26" s="35"/>
      <c r="G26" s="35"/>
      <c r="H26" s="35"/>
      <c r="I26" s="35"/>
      <c r="J26" s="35"/>
      <c r="K26" s="35"/>
      <c r="L26" s="35"/>
      <c r="M26" s="35"/>
    </row>
    <row r="27" spans="1:13" ht="12.75" x14ac:dyDescent="0.2">
      <c r="A27" s="35"/>
      <c r="B27" s="20" t="s">
        <v>191</v>
      </c>
      <c r="C27" s="20" t="s">
        <v>191</v>
      </c>
      <c r="D27" s="16" t="s">
        <v>191</v>
      </c>
      <c r="E27" s="16" t="s">
        <v>191</v>
      </c>
      <c r="F27" s="35"/>
      <c r="G27" s="35"/>
      <c r="H27" s="35"/>
      <c r="I27" s="35"/>
      <c r="J27" s="35"/>
      <c r="K27" s="35"/>
      <c r="L27" s="35"/>
      <c r="M27" s="35"/>
    </row>
    <row r="28" spans="1:13" ht="12.75" x14ac:dyDescent="0.2">
      <c r="A28" s="35"/>
      <c r="B28" s="21"/>
      <c r="C28" s="21"/>
      <c r="D28" s="18" t="s">
        <v>193</v>
      </c>
      <c r="E28" s="18" t="s">
        <v>193</v>
      </c>
      <c r="F28" s="35"/>
      <c r="G28" s="35"/>
      <c r="H28" s="35"/>
      <c r="I28" s="35"/>
      <c r="J28" s="35"/>
      <c r="K28" s="35"/>
      <c r="L28" s="35"/>
      <c r="M28" s="35"/>
    </row>
    <row r="33" spans="1:1" ht="12.75" x14ac:dyDescent="0.2">
      <c r="A33" t="s">
        <v>3</v>
      </c>
    </row>
  </sheetData>
  <mergeCells count="72">
    <mergeCell ref="A20:A22"/>
    <mergeCell ref="A23:A25"/>
    <mergeCell ref="A26:A28"/>
    <mergeCell ref="F5:F7"/>
    <mergeCell ref="F8:F10"/>
    <mergeCell ref="F11:F13"/>
    <mergeCell ref="F14:F16"/>
    <mergeCell ref="F17:F19"/>
    <mergeCell ref="F20:F22"/>
    <mergeCell ref="F23:F25"/>
    <mergeCell ref="F26:F28"/>
    <mergeCell ref="A5:A7"/>
    <mergeCell ref="A8:A10"/>
    <mergeCell ref="A11:A13"/>
    <mergeCell ref="A14:A16"/>
    <mergeCell ref="A17:A19"/>
    <mergeCell ref="G20:G22"/>
    <mergeCell ref="G23:G25"/>
    <mergeCell ref="G26:G28"/>
    <mergeCell ref="H5:H7"/>
    <mergeCell ref="H8:H10"/>
    <mergeCell ref="H11:H13"/>
    <mergeCell ref="H14:H16"/>
    <mergeCell ref="H17:H19"/>
    <mergeCell ref="H20:H22"/>
    <mergeCell ref="H23:H25"/>
    <mergeCell ref="H26:H28"/>
    <mergeCell ref="G5:G7"/>
    <mergeCell ref="G8:G10"/>
    <mergeCell ref="G11:G13"/>
    <mergeCell ref="G14:G16"/>
    <mergeCell ref="G17:G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M20:M22"/>
    <mergeCell ref="M23:M25"/>
    <mergeCell ref="M26:M28"/>
    <mergeCell ref="M5:M7"/>
    <mergeCell ref="M8:M10"/>
    <mergeCell ref="M11:M13"/>
    <mergeCell ref="M14:M16"/>
    <mergeCell ref="M17:M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Standard Curve 1_02</vt:lpstr>
      <vt:lpstr>Blank Subtraction 1_03</vt:lpstr>
      <vt:lpstr>Standard Curve 2_04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2026-08-05T20:25:09Z</dcterms:created>
  <dcterms:modified xsi:type="dcterms:W3CDTF">2026-10-02T19:30:12Z</dcterms:modified>
</cp:coreProperties>
</file>