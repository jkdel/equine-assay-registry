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mstate-my.sharepoint.com/personal/ma2020_msstate_edu/Documents/Documents 1/ELISA Project/IGFBP5/"/>
    </mc:Choice>
  </mc:AlternateContent>
  <xr:revisionPtr revIDLastSave="70" documentId="13_ncr:1_{BFC06681-8FAD-4FF9-A502-5BC597D4A2DE}" xr6:coauthVersionLast="47" xr6:coauthVersionMax="47" xr10:uidLastSave="{EAC308DF-1C85-4A24-99E0-7D7B9FB017A2}"/>
  <bookViews>
    <workbookView xWindow="-120" yWindow="-120" windowWidth="29040" windowHeight="15720" activeTab="3" xr2:uid="{00000000-000D-0000-FFFF-FFFF00000000}"/>
  </bookViews>
  <sheets>
    <sheet name="Absorbance 1_01" sheetId="1" r:id="rId1"/>
    <sheet name="Standard Curve 1_02" sheetId="2" r:id="rId2"/>
    <sheet name="Blank Subtraction 1_03" sheetId="3" r:id="rId3"/>
    <sheet name="Standard Curve 2_04" sheetId="4" r:id="rId4"/>
    <sheet name="General information" sheetId="5" r:id="rId5"/>
    <sheet name="Session information" sheetId="6" r:id="rId6"/>
    <sheet name="Instrument information" sheetId="7" r:id="rId7"/>
    <sheet name="Protocol parameters" sheetId="8" r:id="rId8"/>
    <sheet name="Run log" sheetId="9" r:id="rId9"/>
    <sheet name="Layout definitions" sheetId="10" r:id="rId10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1" i="4" l="1"/>
  <c r="L92" i="4"/>
  <c r="L93" i="4"/>
  <c r="L94" i="4"/>
  <c r="L91" i="4"/>
  <c r="K83" i="4"/>
  <c r="L83" i="4" s="1"/>
  <c r="K84" i="4"/>
  <c r="L84" i="4" s="1"/>
  <c r="K85" i="4"/>
  <c r="L85" i="4" s="1"/>
  <c r="K82" i="4"/>
  <c r="L82" i="4" s="1"/>
</calcChain>
</file>

<file path=xl/sharedStrings.xml><?xml version="1.0" encoding="utf-8"?>
<sst xmlns="http://schemas.openxmlformats.org/spreadsheetml/2006/main" count="743" uniqueCount="235">
  <si>
    <t>Measurement results</t>
  </si>
  <si>
    <t>Porcine_IGFBP5_Raybiotech_08_17_26 (4).skax</t>
  </si>
  <si>
    <t>2026-08-17T15:45:59-05:00</t>
  </si>
  <si>
    <t xml:space="preserve"> </t>
  </si>
  <si>
    <t>Absorbance 1</t>
  </si>
  <si>
    <t>Wavelength: 450 nm</t>
  </si>
  <si>
    <t>Plate 1</t>
  </si>
  <si>
    <t>Abs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</si>
  <si>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</si>
  <si>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</si>
  <si>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</si>
  <si>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</si>
  <si>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</si>
  <si>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</si>
  <si>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</si>
  <si>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</si>
  <si>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</si>
  <si>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Std70001</t>
  </si>
  <si>
    <t>Un0001</t>
  </si>
  <si>
    <t>Un0009</t>
  </si>
  <si>
    <t>Std60001</t>
  </si>
  <si>
    <t>Un0002</t>
  </si>
  <si>
    <t>Un0010</t>
  </si>
  <si>
    <t>Std50001</t>
  </si>
  <si>
    <t>Un0003</t>
  </si>
  <si>
    <t>Un0011</t>
  </si>
  <si>
    <t>Std40001</t>
  </si>
  <si>
    <t>Un0004</t>
  </si>
  <si>
    <t>Un0012</t>
  </si>
  <si>
    <t>Std30001</t>
  </si>
  <si>
    <t>Un0005</t>
  </si>
  <si>
    <t>Un0013</t>
  </si>
  <si>
    <t>Std20001</t>
  </si>
  <si>
    <t>Un0006</t>
  </si>
  <si>
    <t>Un0014</t>
  </si>
  <si>
    <t>Std10001</t>
  </si>
  <si>
    <t>Un0007</t>
  </si>
  <si>
    <t>Un0015</t>
  </si>
  <si>
    <t>Blank1</t>
  </si>
  <si>
    <t>Un0008</t>
  </si>
  <si>
    <t>Un0016</t>
  </si>
  <si>
    <t>Autoloading range A1 - M28</t>
  </si>
  <si>
    <t>Standard Curve 1</t>
  </si>
  <si>
    <t>Fit type: 4PL</t>
  </si>
  <si>
    <t>Concentration transformation: Logarithmic</t>
  </si>
  <si>
    <t>Signal transformation: Linear</t>
  </si>
  <si>
    <t>Saved curve: No</t>
  </si>
  <si>
    <t>Sample group: Group 1</t>
  </si>
  <si>
    <t>y = 4.56865 + ( (0.0564164 - 4.56865) / ( 1 + (x/137.984)^1.17728) )</t>
  </si>
  <si>
    <t>y = d + ( (a - d) / ( 1 + (x/c)^b) )</t>
  </si>
  <si>
    <t>Where:</t>
  </si>
  <si>
    <t>a =</t>
  </si>
  <si>
    <t>b =</t>
  </si>
  <si>
    <t>c =</t>
  </si>
  <si>
    <t>d =</t>
  </si>
  <si>
    <t>R²: 0.999</t>
  </si>
  <si>
    <t>Well</t>
  </si>
  <si>
    <t>Conc.</t>
  </si>
  <si>
    <t>Original signal</t>
  </si>
  <si>
    <t>CV%</t>
  </si>
  <si>
    <t>Fitted signal</t>
  </si>
  <si>
    <t>Residual</t>
  </si>
  <si>
    <t>Average</t>
  </si>
  <si>
    <t>G01</t>
  </si>
  <si>
    <t>G02</t>
  </si>
  <si>
    <t>F01</t>
  </si>
  <si>
    <t>F02</t>
  </si>
  <si>
    <t>E01</t>
  </si>
  <si>
    <t>E02</t>
  </si>
  <si>
    <t>D01</t>
  </si>
  <si>
    <t>D02</t>
  </si>
  <si>
    <t>C01</t>
  </si>
  <si>
    <t>C02</t>
  </si>
  <si>
    <t>B01</t>
  </si>
  <si>
    <t>B02</t>
  </si>
  <si>
    <t>A01</t>
  </si>
  <si>
    <t>A02</t>
  </si>
  <si>
    <t>Signal</t>
  </si>
  <si>
    <t>Autoloading range A1 - M101</t>
  </si>
  <si>
    <t>Blank Subtraction 1</t>
  </si>
  <si>
    <t>Blank subtracted</t>
  </si>
  <si>
    <t>Autoloading range A1 - M31</t>
  </si>
  <si>
    <t>Standard Curve 2</t>
  </si>
  <si>
    <t>y = 4.51312 + ( (0.000886336 - 4.51312) / ( 1 + (x/137.984)^1.17728) )</t>
  </si>
  <si>
    <t>General information</t>
  </si>
  <si>
    <t>Report generated with SW version</t>
  </si>
  <si>
    <t>SkanIt Software 7.1 RE for Microplate Readers RE, ver. 7.1.0.36</t>
  </si>
  <si>
    <t>Time zone</t>
  </si>
  <si>
    <t>(UTC-06:00) Central Time (US &amp; Canada). Daylight saving time in effect: Offset from UTC is -05:00</t>
  </si>
  <si>
    <t>Session information</t>
  </si>
  <si>
    <t>Session name</t>
  </si>
  <si>
    <t>Session notes</t>
  </si>
  <si>
    <t>Porcine_IGFBP5_08_17_2026_RayBiotech_First trial</t>
  </si>
  <si>
    <t>Executed with</t>
  </si>
  <si>
    <t>SkanIt Software for Microplate Readers RE, ver 7.1.0.36</t>
  </si>
  <si>
    <t>Execution time</t>
  </si>
  <si>
    <t>Instrument information</t>
  </si>
  <si>
    <t>Name</t>
  </si>
  <si>
    <t>Varioskan ALF</t>
  </si>
  <si>
    <t>ESW version</t>
  </si>
  <si>
    <t>1.00.6</t>
  </si>
  <si>
    <t>Set temperature</t>
  </si>
  <si>
    <t>37.00 °C</t>
  </si>
  <si>
    <t>Serial number</t>
  </si>
  <si>
    <t>3500-00622</t>
  </si>
  <si>
    <t>Instrument modules</t>
  </si>
  <si>
    <t>Excitation filter</t>
  </si>
  <si>
    <t>Excitation filter product number</t>
  </si>
  <si>
    <t>VF34525</t>
  </si>
  <si>
    <t>Blue fluorescence EX</t>
  </si>
  <si>
    <t>Excitation wavelength [nm]</t>
  </si>
  <si>
    <t>345</t>
  </si>
  <si>
    <t>Bandwidth</t>
  </si>
  <si>
    <t>25</t>
  </si>
  <si>
    <t>Permanent</t>
  </si>
  <si>
    <t>Yes</t>
  </si>
  <si>
    <t>Date and time of definition</t>
  </si>
  <si>
    <t>11/13/2025 10:30:00 AM</t>
  </si>
  <si>
    <t>VF48515</t>
  </si>
  <si>
    <t>Green fluorescence EX</t>
  </si>
  <si>
    <t>485</t>
  </si>
  <si>
    <t>15</t>
  </si>
  <si>
    <t>VF55515</t>
  </si>
  <si>
    <t>Orange fluorescence EX</t>
  </si>
  <si>
    <t>555</t>
  </si>
  <si>
    <t>Emission filter</t>
  </si>
  <si>
    <t>Emission filter product number</t>
  </si>
  <si>
    <t>VF45040</t>
  </si>
  <si>
    <t>Blue fluorescence EM</t>
  </si>
  <si>
    <t>Emission wavelength [nm]</t>
  </si>
  <si>
    <t>450</t>
  </si>
  <si>
    <t>40</t>
  </si>
  <si>
    <t>VF52515</t>
  </si>
  <si>
    <t>Green fluorescence EM</t>
  </si>
  <si>
    <t>525</t>
  </si>
  <si>
    <t>VF61545</t>
  </si>
  <si>
    <t>Orange fluorescence EM</t>
  </si>
  <si>
    <t>615</t>
  </si>
  <si>
    <t>45</t>
  </si>
  <si>
    <t>Filter pair</t>
  </si>
  <si>
    <t>Blue fluorescence</t>
  </si>
  <si>
    <t>Scaling factor</t>
  </si>
  <si>
    <t>1</t>
  </si>
  <si>
    <t>Green fluorescence</t>
  </si>
  <si>
    <t>Orange fluorescence</t>
  </si>
  <si>
    <t>Top optics</t>
  </si>
  <si>
    <t>Bottom optics</t>
  </si>
  <si>
    <t>No</t>
  </si>
  <si>
    <t>Photometric monochromator</t>
  </si>
  <si>
    <t>Incubator</t>
  </si>
  <si>
    <t>Protocol parameters</t>
  </si>
  <si>
    <t>Measurement order</t>
  </si>
  <si>
    <t>3</t>
  </si>
  <si>
    <t>Check temperature at start [°C]</t>
  </si>
  <si>
    <t>Plate with lid</t>
  </si>
  <si>
    <t>Shake 1</t>
  </si>
  <si>
    <t>Duration [hh:mm:ss]:</t>
  </si>
  <si>
    <t>00:00:20</t>
  </si>
  <si>
    <t>Shaking type</t>
  </si>
  <si>
    <t>Continuous</t>
  </si>
  <si>
    <t>Shaking method</t>
  </si>
  <si>
    <t>Orbital</t>
  </si>
  <si>
    <t>Shaking speed</t>
  </si>
  <si>
    <t>Medium</t>
  </si>
  <si>
    <t>Wavelength [nm]</t>
  </si>
  <si>
    <t>Use transmittance</t>
  </si>
  <si>
    <t>Measurement mode</t>
  </si>
  <si>
    <t>Fast</t>
  </si>
  <si>
    <t>Pathlength correction</t>
  </si>
  <si>
    <t>Run log</t>
  </si>
  <si>
    <t>Time</t>
  </si>
  <si>
    <t>Event</t>
  </si>
  <si>
    <t>Information</t>
  </si>
  <si>
    <t>Session Porcine_IGFBP5_Raybiotech_08_17_26 (4).skax started</t>
  </si>
  <si>
    <t>2026-08-17T15:46:00-05:00</t>
  </si>
  <si>
    <t>Temperature</t>
  </si>
  <si>
    <t>37.0°C</t>
  </si>
  <si>
    <t>Step Shake 1 started</t>
  </si>
  <si>
    <t>2026-08-17T15:46:11-05:00</t>
  </si>
  <si>
    <t>2026-08-17T15:46:23-05:00</t>
  </si>
  <si>
    <t>Step Shake 1 ended</t>
  </si>
  <si>
    <t>Step Absorbance 1 started</t>
  </si>
  <si>
    <t>2026-08-17T15:46:40-05:00</t>
  </si>
  <si>
    <t>Step Absorbance 1 ended</t>
  </si>
  <si>
    <t>2026-08-17T15:46:45-05:00</t>
  </si>
  <si>
    <t>Session Porcine_IGFBP5_Raybiotech_08_17_26 (4).skax ended</t>
  </si>
  <si>
    <t>Plate template</t>
  </si>
  <si>
    <t>ANSI/SBS Standard, 96-well</t>
  </si>
  <si>
    <t>Group 1</t>
  </si>
  <si>
    <t xml:space="preserve">0.16384 </t>
  </si>
  <si>
    <t>1:1</t>
  </si>
  <si>
    <t xml:space="preserve">0.4096 </t>
  </si>
  <si>
    <t xml:space="preserve">1.024 </t>
  </si>
  <si>
    <t xml:space="preserve">2.56 </t>
  </si>
  <si>
    <t xml:space="preserve">6.4 </t>
  </si>
  <si>
    <t xml:space="preserve">16 </t>
  </si>
  <si>
    <t xml:space="preserve">40 </t>
  </si>
  <si>
    <t>Std7 0.164</t>
  </si>
  <si>
    <t>Std6 0.410</t>
  </si>
  <si>
    <t>Serum  4X</t>
  </si>
  <si>
    <t>Std5 1.024</t>
  </si>
  <si>
    <t>Serum  8X</t>
  </si>
  <si>
    <t>Std4 2.560</t>
  </si>
  <si>
    <t>Serum  16X</t>
  </si>
  <si>
    <t>Std3 6.4</t>
  </si>
  <si>
    <t>Std2 16</t>
  </si>
  <si>
    <t>Std1 40</t>
  </si>
  <si>
    <t>Serum  24X</t>
  </si>
  <si>
    <t>16x diluted sample used</t>
  </si>
  <si>
    <t>Dilution factor</t>
  </si>
  <si>
    <t>Measured</t>
  </si>
  <si>
    <t>Corrected</t>
  </si>
  <si>
    <t>Recovery (%)</t>
  </si>
  <si>
    <t xml:space="preserve"> 8X is considered as a reliable dilution</t>
  </si>
  <si>
    <t>Expected</t>
  </si>
  <si>
    <t>Experimental</t>
  </si>
  <si>
    <t>Spike 3</t>
  </si>
  <si>
    <t xml:space="preserve">8x diluted sample used </t>
  </si>
  <si>
    <t>Spike1 8</t>
  </si>
  <si>
    <t>Spike2 4</t>
  </si>
  <si>
    <t>Spike3 2</t>
  </si>
  <si>
    <t>Spike4 3</t>
  </si>
  <si>
    <t>Spike1</t>
  </si>
  <si>
    <t>Spike2</t>
  </si>
  <si>
    <t>Spike3</t>
  </si>
  <si>
    <t>Spike4</t>
  </si>
  <si>
    <t>Calculation of dilution linearity recovery</t>
  </si>
  <si>
    <t>Calculation of spike recovery</t>
  </si>
  <si>
    <t>Spikes Preparation</t>
  </si>
  <si>
    <t>Vol (uL) of sample</t>
  </si>
  <si>
    <t>Spike 1</t>
  </si>
  <si>
    <t>Spike 2</t>
  </si>
  <si>
    <t>Spike 4</t>
  </si>
  <si>
    <t>Vol (uL) of standard (40 ng/mL)</t>
  </si>
  <si>
    <r>
      <t xml:space="preserve">For the spikes preperation I have used </t>
    </r>
    <r>
      <rPr>
        <sz val="10"/>
        <color theme="3" tint="0.39997558519241921"/>
        <rFont val="Arial"/>
        <family val="2"/>
      </rPr>
      <t>8X</t>
    </r>
    <r>
      <rPr>
        <sz val="10"/>
        <rFont val="Arial"/>
        <family val="2"/>
      </rPr>
      <t xml:space="preserve"> and </t>
    </r>
    <r>
      <rPr>
        <sz val="10"/>
        <color theme="3" tint="0.79998168889431442"/>
        <rFont val="Arial"/>
        <family val="2"/>
      </rPr>
      <t xml:space="preserve">16X </t>
    </r>
    <r>
      <rPr>
        <sz val="10"/>
        <rFont val="Arial"/>
        <family val="2"/>
      </rPr>
      <t>diluted serum sample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</si>
</sst>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0000"/>
    <numFmt numFmtId="166" formatCode="0.00000"/>
    <numFmt numFmtId="167" formatCode="0.000"/>
    <numFmt numFmtId="168" formatCode="0.000000"/>
    <numFmt numFmtId="169" formatCode="0.00000000"/>
    <numFmt numFmtId="170" formatCode="0.000000000"/>
  </numFmts>
  <fonts count="4" x14ac:knownFonts="1">
    <font>
      <sz val="10"/>
      <name val="Arial"/>
    </font>
    <font>
      <sz val="10"/>
      <name val="Arial"/>
      <family val="2"/>
    </font>
    <font>
      <sz val="10"/>
      <color theme="3" tint="0.39997558519241921"/>
      <name val="Arial"/>
      <family val="2"/>
    </font>
    <font>
      <sz val="10"/>
      <color theme="3" tint="0.7999816888943144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66BFA6"/>
      </patternFill>
    </fill>
    <fill>
      <patternFill patternType="solid">
        <fgColor rgb="FF5685C4"/>
      </patternFill>
    </fill>
    <fill>
      <patternFill patternType="solid">
        <fgColor rgb="FFE7F4F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5" xfId="0" applyBorder="1"/>
    <xf numFmtId="0" fontId="0" fillId="5" borderId="5" xfId="0" applyFill="1" applyBorder="1"/>
    <xf numFmtId="0" fontId="0" fillId="6" borderId="5" xfId="0" applyFill="1" applyBorder="1"/>
    <xf numFmtId="0" fontId="0" fillId="5" borderId="0" xfId="0" applyFill="1"/>
    <xf numFmtId="0" fontId="0" fillId="6" borderId="0" xfId="0" applyFill="1"/>
    <xf numFmtId="164" fontId="0" fillId="0" borderId="5" xfId="0" applyNumberFormat="1" applyBorder="1"/>
    <xf numFmtId="0" fontId="0" fillId="0" borderId="5" xfId="0" applyBorder="1" applyAlignment="1">
      <alignment horizontal="right"/>
    </xf>
    <xf numFmtId="169" fontId="0" fillId="0" borderId="5" xfId="0" applyNumberFormat="1" applyBorder="1" applyAlignment="1">
      <alignment horizontal="right"/>
    </xf>
    <xf numFmtId="168" fontId="0" fillId="0" borderId="5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6" fontId="0" fillId="0" borderId="5" xfId="0" applyNumberFormat="1" applyBorder="1" applyAlignment="1">
      <alignment horizontal="right"/>
    </xf>
    <xf numFmtId="0" fontId="0" fillId="7" borderId="5" xfId="0" applyFill="1" applyBorder="1"/>
    <xf numFmtId="0" fontId="1" fillId="8" borderId="6" xfId="0" applyFont="1" applyFill="1" applyBorder="1"/>
    <xf numFmtId="0" fontId="0" fillId="8" borderId="0" xfId="0" applyFill="1"/>
    <xf numFmtId="0" fontId="0" fillId="0" borderId="5" xfId="0" applyBorder="1" applyAlignment="1">
      <alignment vertical="center"/>
    </xf>
    <xf numFmtId="49" fontId="1" fillId="0" borderId="5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/>
    <xf numFmtId="0" fontId="0" fillId="8" borderId="0" xfId="0" applyFill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0" fillId="7" borderId="5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12</xdr:col>
      <xdr:colOff>57150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9</xdr:col>
      <xdr:colOff>565150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P32"/>
  <sheetViews>
    <sheetView topLeftCell="A7" workbookViewId="0">
      <selection activeCell="O35" sqref="O35"/>
    </sheetView>
  </sheetViews>
  <sheetFormatPr defaultColWidth="9.140625" defaultRowHeight="15" customHeight="1" x14ac:dyDescent="0.2"/>
  <cols>
    <col min="1" max="1" width="18.85546875" customWidth="1"/>
    <col min="2" max="5" width="10.7109375" customWidth="1"/>
    <col min="6" max="10" width="3.140625" customWidth="1"/>
    <col min="11" max="13" width="4.140625" customWidth="1"/>
  </cols>
  <sheetData>
    <row r="1" spans="1:16" ht="15" customHeight="1" x14ac:dyDescent="0.2">
      <c r="A1" t="s">
        <v>0</v>
      </c>
    </row>
    <row r="2" spans="1:16" ht="15" customHeight="1" x14ac:dyDescent="0.2">
      <c r="A2" t="s">
        <v>1</v>
      </c>
    </row>
    <row r="3" spans="1:16" ht="15" customHeight="1" x14ac:dyDescent="0.2">
      <c r="A3" t="s">
        <v>2</v>
      </c>
    </row>
    <row r="4" spans="1:16" ht="15" customHeight="1" x14ac:dyDescent="0.2">
      <c r="A4" t="s">
        <v>3</v>
      </c>
    </row>
    <row r="5" spans="1:16" ht="15" customHeight="1" x14ac:dyDescent="0.2">
      <c r="A5" t="s">
        <v>4</v>
      </c>
    </row>
    <row r="6" spans="1:16" ht="15" customHeight="1" x14ac:dyDescent="0.2">
      <c r="A6" t="s">
        <v>5</v>
      </c>
    </row>
    <row r="7" spans="1:16" ht="15" customHeight="1" x14ac:dyDescent="0.2">
      <c r="A7" t="s">
        <v>3</v>
      </c>
    </row>
    <row r="8" spans="1:16" ht="15" customHeight="1" x14ac:dyDescent="0.2">
      <c r="A8" t="s">
        <v>6</v>
      </c>
    </row>
    <row r="9" spans="1:16" ht="15" customHeight="1" x14ac:dyDescent="0.2">
      <c r="A9" t="s">
        <v>3</v>
      </c>
    </row>
    <row r="10" spans="1:16" ht="15" customHeight="1" x14ac:dyDescent="0.2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/>
      <c r="G10" s="1"/>
      <c r="H10" s="1"/>
      <c r="I10" s="1"/>
      <c r="J10" s="1"/>
      <c r="K10" s="1"/>
      <c r="L10" s="1"/>
      <c r="M10" s="1"/>
      <c r="P10" s="6"/>
    </row>
    <row r="11" spans="1:16" ht="15" customHeight="1" x14ac:dyDescent="0.2">
      <c r="A11" t="s">
        <v>8</v>
      </c>
      <c r="B11" s="2">
        <v>5.8099999999999999E-2</v>
      </c>
      <c r="C11" s="2">
        <v>5.8900000000000001E-2</v>
      </c>
      <c r="D11" s="2">
        <v>0.4738</v>
      </c>
      <c r="E11" s="2">
        <v>0.43709999999999999</v>
      </c>
      <c r="N11" s="6"/>
      <c r="P11" s="6"/>
    </row>
    <row r="12" spans="1:16" ht="15" customHeight="1" x14ac:dyDescent="0.2">
      <c r="A12" t="s">
        <v>9</v>
      </c>
      <c r="B12" s="2">
        <v>6.1600000000000002E-2</v>
      </c>
      <c r="C12" s="2">
        <v>6.0400000000000002E-2</v>
      </c>
      <c r="D12" s="2">
        <v>0.26750000000000002</v>
      </c>
      <c r="E12" s="2">
        <v>0.27560000000000001</v>
      </c>
      <c r="N12" s="6"/>
      <c r="P12" s="6"/>
    </row>
    <row r="13" spans="1:16" ht="15" customHeight="1" x14ac:dyDescent="0.2">
      <c r="A13" t="s">
        <v>10</v>
      </c>
      <c r="B13" s="2">
        <v>7.22E-2</v>
      </c>
      <c r="C13" s="2">
        <v>6.9800000000000001E-2</v>
      </c>
      <c r="D13" s="2">
        <v>0.1429</v>
      </c>
      <c r="E13" s="2">
        <v>0.1479</v>
      </c>
      <c r="N13" s="6"/>
      <c r="P13" s="6"/>
    </row>
    <row r="14" spans="1:16" ht="15" customHeight="1" x14ac:dyDescent="0.2">
      <c r="A14" t="s">
        <v>11</v>
      </c>
      <c r="B14" s="2">
        <v>9.2799999999999994E-2</v>
      </c>
      <c r="C14" s="2">
        <v>9.8400000000000001E-2</v>
      </c>
      <c r="D14" s="2">
        <v>0.12529999999999999</v>
      </c>
      <c r="E14" s="2">
        <v>0.12130000000000001</v>
      </c>
      <c r="N14" s="6"/>
      <c r="P14" s="6"/>
    </row>
    <row r="15" spans="1:16" ht="15" customHeight="1" x14ac:dyDescent="0.2">
      <c r="A15" t="s">
        <v>12</v>
      </c>
      <c r="B15" s="2">
        <v>0.17899999999999999</v>
      </c>
      <c r="C15" s="2">
        <v>0.17249999999999999</v>
      </c>
      <c r="D15" s="2">
        <v>0.31619999999999998</v>
      </c>
      <c r="E15" s="2">
        <v>0.31169999999999998</v>
      </c>
      <c r="N15" s="6"/>
      <c r="P15" s="6"/>
    </row>
    <row r="16" spans="1:16" ht="15" customHeight="1" x14ac:dyDescent="0.2">
      <c r="A16" t="s">
        <v>13</v>
      </c>
      <c r="B16" s="2">
        <v>0.37169999999999997</v>
      </c>
      <c r="C16" s="2">
        <v>0.40239999999999998</v>
      </c>
      <c r="D16" s="2">
        <v>0.27079999999999999</v>
      </c>
      <c r="E16" s="2">
        <v>0.26850000000000002</v>
      </c>
      <c r="N16" s="6"/>
      <c r="P16" s="6"/>
    </row>
    <row r="17" spans="1:16" ht="15" customHeight="1" x14ac:dyDescent="0.2">
      <c r="A17" t="s">
        <v>14</v>
      </c>
      <c r="B17" s="2">
        <v>0.90369999999999995</v>
      </c>
      <c r="C17" s="2">
        <v>0.91310000000000002</v>
      </c>
      <c r="D17" s="2">
        <v>0.25729999999999997</v>
      </c>
      <c r="E17" s="2">
        <v>0.25800000000000001</v>
      </c>
      <c r="N17" s="6"/>
      <c r="P17" s="6"/>
    </row>
    <row r="18" spans="1:16" ht="15" customHeight="1" x14ac:dyDescent="0.2">
      <c r="A18" t="s">
        <v>15</v>
      </c>
      <c r="B18" s="2">
        <v>5.5599999999999997E-2</v>
      </c>
      <c r="C18" s="2">
        <v>5.5399999999999998E-2</v>
      </c>
      <c r="D18" s="2">
        <v>0.16339999999999999</v>
      </c>
      <c r="E18" s="2">
        <v>0.1603</v>
      </c>
      <c r="N18" s="6"/>
      <c r="P18" s="6"/>
    </row>
    <row r="20" spans="1:16" ht="15" customHeight="1" x14ac:dyDescent="0.2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/>
      <c r="G20" s="1"/>
      <c r="H20" s="1"/>
      <c r="I20" s="1"/>
      <c r="J20" s="1"/>
      <c r="K20" s="1"/>
      <c r="L20" s="1"/>
      <c r="M20" s="1"/>
    </row>
    <row r="21" spans="1:16" ht="15" customHeight="1" x14ac:dyDescent="0.2">
      <c r="A21" t="s">
        <v>8</v>
      </c>
      <c r="B21" s="21" t="s">
        <v>197</v>
      </c>
      <c r="C21" s="21" t="s">
        <v>197</v>
      </c>
      <c r="D21" s="21" t="s">
        <v>199</v>
      </c>
      <c r="E21" s="21" t="s">
        <v>199</v>
      </c>
    </row>
    <row r="22" spans="1:16" ht="15" customHeight="1" x14ac:dyDescent="0.2">
      <c r="A22" t="s">
        <v>9</v>
      </c>
      <c r="B22" s="21" t="s">
        <v>198</v>
      </c>
      <c r="C22" s="21" t="s">
        <v>198</v>
      </c>
      <c r="D22" s="21" t="s">
        <v>201</v>
      </c>
      <c r="E22" s="21" t="s">
        <v>201</v>
      </c>
    </row>
    <row r="23" spans="1:16" ht="15" customHeight="1" x14ac:dyDescent="0.2">
      <c r="A23" t="s">
        <v>10</v>
      </c>
      <c r="B23" s="21" t="s">
        <v>200</v>
      </c>
      <c r="C23" s="21" t="s">
        <v>200</v>
      </c>
      <c r="D23" s="21" t="s">
        <v>203</v>
      </c>
      <c r="E23" s="21" t="s">
        <v>203</v>
      </c>
    </row>
    <row r="24" spans="1:16" ht="15" customHeight="1" x14ac:dyDescent="0.2">
      <c r="A24" t="s">
        <v>11</v>
      </c>
      <c r="B24" s="21" t="s">
        <v>202</v>
      </c>
      <c r="C24" s="21" t="s">
        <v>202</v>
      </c>
      <c r="D24" s="21" t="s">
        <v>207</v>
      </c>
      <c r="E24" s="21" t="s">
        <v>207</v>
      </c>
    </row>
    <row r="25" spans="1:16" ht="15" customHeight="1" x14ac:dyDescent="0.2">
      <c r="A25" t="s">
        <v>12</v>
      </c>
      <c r="B25" s="21" t="s">
        <v>204</v>
      </c>
      <c r="C25" s="21" t="s">
        <v>204</v>
      </c>
      <c r="D25" s="22" t="s">
        <v>218</v>
      </c>
      <c r="E25" s="22" t="s">
        <v>218</v>
      </c>
    </row>
    <row r="26" spans="1:16" ht="15" customHeight="1" x14ac:dyDescent="0.2">
      <c r="A26" t="s">
        <v>13</v>
      </c>
      <c r="B26" s="21" t="s">
        <v>205</v>
      </c>
      <c r="C26" s="21" t="s">
        <v>205</v>
      </c>
      <c r="D26" s="22" t="s">
        <v>219</v>
      </c>
      <c r="E26" s="22" t="s">
        <v>219</v>
      </c>
    </row>
    <row r="27" spans="1:16" ht="15" customHeight="1" x14ac:dyDescent="0.2">
      <c r="A27" t="s">
        <v>14</v>
      </c>
      <c r="B27" s="21" t="s">
        <v>206</v>
      </c>
      <c r="C27" s="21" t="s">
        <v>206</v>
      </c>
      <c r="D27" s="22" t="s">
        <v>220</v>
      </c>
      <c r="E27" s="22" t="s">
        <v>220</v>
      </c>
    </row>
    <row r="28" spans="1:16" ht="15" customHeight="1" x14ac:dyDescent="0.2">
      <c r="A28" t="s">
        <v>15</v>
      </c>
      <c r="B28" s="21" t="s">
        <v>38</v>
      </c>
      <c r="C28" s="21" t="s">
        <v>38</v>
      </c>
      <c r="D28" s="23" t="s">
        <v>221</v>
      </c>
      <c r="E28" s="23" t="s">
        <v>216</v>
      </c>
    </row>
    <row r="30" spans="1:16" ht="15" customHeight="1" x14ac:dyDescent="0.2">
      <c r="A30" t="s">
        <v>41</v>
      </c>
    </row>
    <row r="31" spans="1:16" ht="15" customHeight="1" x14ac:dyDescent="0.2">
      <c r="D31" s="24"/>
      <c r="E31" s="33" t="s">
        <v>217</v>
      </c>
      <c r="F31" s="33"/>
      <c r="G31" s="33"/>
    </row>
    <row r="32" spans="1:16" ht="15" customHeight="1" x14ac:dyDescent="0.2">
      <c r="D32" s="25"/>
      <c r="E32" s="21" t="s">
        <v>208</v>
      </c>
      <c r="F32" s="21"/>
      <c r="G32" s="2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tandard Curve 1_02"/>
  <dimension ref="A1:M105"/>
  <sheetViews>
    <sheetView topLeftCell="A8" workbookViewId="0">
      <selection activeCell="D98" sqref="D98:E101"/>
    </sheetView>
  </sheetViews>
  <sheetFormatPr defaultColWidth="9.140625" defaultRowHeight="15" customHeight="1" x14ac:dyDescent="0.2"/>
  <cols>
    <col min="1" max="1" width="10.42578125" customWidth="1"/>
    <col min="2" max="3" width="11.28515625" customWidth="1"/>
    <col min="4" max="4" width="14.42578125" customWidth="1"/>
    <col min="5" max="5" width="10.140625" customWidth="1"/>
    <col min="6" max="6" width="12.5703125" customWidth="1"/>
    <col min="7" max="7" width="14.140625" customWidth="1"/>
    <col min="8" max="10" width="3.140625" customWidth="1"/>
    <col min="11" max="13" width="4.140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42</v>
      </c>
    </row>
    <row r="7" spans="1:1" ht="15" customHeight="1" x14ac:dyDescent="0.2">
      <c r="A7" t="s">
        <v>43</v>
      </c>
    </row>
    <row r="8" spans="1:1" ht="15" customHeight="1" x14ac:dyDescent="0.2">
      <c r="A8" t="s">
        <v>44</v>
      </c>
    </row>
    <row r="9" spans="1:1" ht="15" customHeight="1" x14ac:dyDescent="0.2">
      <c r="A9" t="s">
        <v>45</v>
      </c>
    </row>
    <row r="10" spans="1:1" ht="15" customHeight="1" x14ac:dyDescent="0.2">
      <c r="A10" t="s">
        <v>5</v>
      </c>
    </row>
    <row r="11" spans="1:1" ht="15" customHeight="1" x14ac:dyDescent="0.2">
      <c r="A11" t="s">
        <v>46</v>
      </c>
    </row>
    <row r="12" spans="1:1" ht="15" customHeight="1" x14ac:dyDescent="0.2">
      <c r="A12" t="s">
        <v>47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48</v>
      </c>
    </row>
    <row r="38" spans="1:7" ht="15" customHeight="1" x14ac:dyDescent="0.2">
      <c r="A38" t="s">
        <v>49</v>
      </c>
    </row>
    <row r="39" spans="1:7" ht="12.75" x14ac:dyDescent="0.2">
      <c r="A39" t="s">
        <v>50</v>
      </c>
    </row>
    <row r="40" spans="1:7" ht="12.75" x14ac:dyDescent="0.2">
      <c r="A40" t="s">
        <v>51</v>
      </c>
      <c r="B40" s="3">
        <v>5.6416399999999998E-2</v>
      </c>
    </row>
    <row r="41" spans="1:7" ht="12.75" x14ac:dyDescent="0.2">
      <c r="A41" t="s">
        <v>52</v>
      </c>
      <c r="B41" s="4">
        <v>1.1772800000000001</v>
      </c>
    </row>
    <row r="42" spans="1:7" ht="12.75" x14ac:dyDescent="0.2">
      <c r="A42" t="s">
        <v>53</v>
      </c>
      <c r="B42" s="5">
        <v>137.98400000000001</v>
      </c>
    </row>
    <row r="43" spans="1:7" ht="12.75" x14ac:dyDescent="0.2">
      <c r="A43" t="s">
        <v>54</v>
      </c>
      <c r="B43" s="4">
        <v>4.5686499999999999</v>
      </c>
    </row>
    <row r="44" spans="1:7" ht="12.75" x14ac:dyDescent="0.2"/>
    <row r="45" spans="1:7" ht="12.75" x14ac:dyDescent="0.2">
      <c r="A45" t="s">
        <v>55</v>
      </c>
    </row>
    <row r="46" spans="1:7" ht="12.75" x14ac:dyDescent="0.2">
      <c r="A46" t="s">
        <v>3</v>
      </c>
    </row>
    <row r="47" spans="1:7" ht="12.75" x14ac:dyDescent="0.2">
      <c r="A47" t="s">
        <v>56</v>
      </c>
      <c r="B47" t="s">
        <v>16</v>
      </c>
      <c r="C47" t="s">
        <v>57</v>
      </c>
      <c r="D47" t="s">
        <v>58</v>
      </c>
      <c r="E47" t="s">
        <v>59</v>
      </c>
      <c r="F47" t="s">
        <v>60</v>
      </c>
      <c r="G47" t="s">
        <v>61</v>
      </c>
    </row>
    <row r="48" spans="1:7" ht="12.75" x14ac:dyDescent="0.2">
      <c r="A48" t="s">
        <v>62</v>
      </c>
      <c r="B48" t="s">
        <v>35</v>
      </c>
      <c r="C48" s="6">
        <v>40</v>
      </c>
      <c r="D48" s="7">
        <v>0.90839000000000003</v>
      </c>
      <c r="E48" s="7">
        <v>0.73093399999999997</v>
      </c>
      <c r="F48" s="7">
        <v>0.90836600000000001</v>
      </c>
      <c r="G48">
        <v>2.3912599999999999E-5</v>
      </c>
    </row>
    <row r="49" spans="1:7" ht="12.75" x14ac:dyDescent="0.2">
      <c r="A49" t="s">
        <v>63</v>
      </c>
      <c r="B49" t="s">
        <v>35</v>
      </c>
      <c r="C49" s="6">
        <v>40</v>
      </c>
      <c r="D49" s="7">
        <v>0.90369500000000003</v>
      </c>
      <c r="F49" s="7">
        <v>0.90836600000000001</v>
      </c>
      <c r="G49" s="8">
        <v>-4.6710900000000001E-3</v>
      </c>
    </row>
    <row r="50" spans="1:7" ht="12.75" x14ac:dyDescent="0.2">
      <c r="A50" t="s">
        <v>64</v>
      </c>
      <c r="B50" t="s">
        <v>35</v>
      </c>
      <c r="C50" s="6">
        <v>40</v>
      </c>
      <c r="D50" s="7">
        <v>0.91308500000000004</v>
      </c>
      <c r="F50" s="7">
        <v>0.90836600000000001</v>
      </c>
      <c r="G50" s="8">
        <v>4.7189099999999998E-3</v>
      </c>
    </row>
    <row r="51" spans="1:7" ht="12.75" x14ac:dyDescent="0.2">
      <c r="A51" t="s">
        <v>62</v>
      </c>
      <c r="B51" t="s">
        <v>32</v>
      </c>
      <c r="C51" s="6">
        <v>16</v>
      </c>
      <c r="D51" s="7">
        <v>0.38706299999999999</v>
      </c>
      <c r="E51" s="4">
        <v>5.6144699999999998</v>
      </c>
      <c r="F51" s="7">
        <v>0.38733899999999999</v>
      </c>
      <c r="G51" s="9">
        <v>-2.7608E-4</v>
      </c>
    </row>
    <row r="52" spans="1:7" ht="12.75" x14ac:dyDescent="0.2">
      <c r="A52" t="s">
        <v>65</v>
      </c>
      <c r="B52" t="s">
        <v>32</v>
      </c>
      <c r="C52" s="6">
        <v>16</v>
      </c>
      <c r="D52" s="7">
        <v>0.37169600000000003</v>
      </c>
      <c r="F52" s="7">
        <v>0.38733899999999999</v>
      </c>
      <c r="G52" s="3">
        <v>-1.56426E-2</v>
      </c>
    </row>
    <row r="53" spans="1:7" ht="12.75" x14ac:dyDescent="0.2">
      <c r="A53" t="s">
        <v>66</v>
      </c>
      <c r="B53" t="s">
        <v>32</v>
      </c>
      <c r="C53" s="6">
        <v>16</v>
      </c>
      <c r="D53" s="7">
        <v>0.40242899999999998</v>
      </c>
      <c r="F53" s="7">
        <v>0.38733899999999999</v>
      </c>
      <c r="G53" s="3">
        <v>1.50904E-2</v>
      </c>
    </row>
    <row r="54" spans="1:7" ht="12.75" x14ac:dyDescent="0.2">
      <c r="A54" t="s">
        <v>62</v>
      </c>
      <c r="B54" t="s">
        <v>29</v>
      </c>
      <c r="C54" s="4">
        <v>6.4</v>
      </c>
      <c r="D54" s="7">
        <v>0.17577799999999999</v>
      </c>
      <c r="E54" s="4">
        <v>2.6264500000000002</v>
      </c>
      <c r="F54" s="7">
        <v>0.17466200000000001</v>
      </c>
      <c r="G54" s="8">
        <v>1.11512E-3</v>
      </c>
    </row>
    <row r="55" spans="1:7" ht="12.75" x14ac:dyDescent="0.2">
      <c r="A55" t="s">
        <v>67</v>
      </c>
      <c r="B55" t="s">
        <v>29</v>
      </c>
      <c r="C55" s="4">
        <v>6.4</v>
      </c>
      <c r="D55" s="7">
        <v>0.17904200000000001</v>
      </c>
      <c r="F55" s="7">
        <v>0.17466200000000001</v>
      </c>
      <c r="G55" s="8">
        <v>4.3796199999999999E-3</v>
      </c>
    </row>
    <row r="56" spans="1:7" ht="12.75" x14ac:dyDescent="0.2">
      <c r="A56" t="s">
        <v>68</v>
      </c>
      <c r="B56" t="s">
        <v>29</v>
      </c>
      <c r="C56" s="4">
        <v>6.4</v>
      </c>
      <c r="D56" s="7">
        <v>0.172513</v>
      </c>
      <c r="F56" s="7">
        <v>0.17466200000000001</v>
      </c>
      <c r="G56" s="8">
        <v>-2.1493800000000002E-3</v>
      </c>
    </row>
    <row r="57" spans="1:7" ht="12.75" x14ac:dyDescent="0.2">
      <c r="A57" t="s">
        <v>62</v>
      </c>
      <c r="B57" t="s">
        <v>26</v>
      </c>
      <c r="C57" s="4">
        <v>2.56</v>
      </c>
      <c r="D57" s="3">
        <v>9.5638399999999998E-2</v>
      </c>
      <c r="E57" s="4">
        <v>4.1433400000000002</v>
      </c>
      <c r="F57" s="3">
        <v>9.7330899999999998E-2</v>
      </c>
      <c r="G57" s="8">
        <v>-1.6925099999999999E-3</v>
      </c>
    </row>
    <row r="58" spans="1:7" ht="12.75" x14ac:dyDescent="0.2">
      <c r="A58" t="s">
        <v>69</v>
      </c>
      <c r="B58" t="s">
        <v>26</v>
      </c>
      <c r="C58" s="4">
        <v>2.56</v>
      </c>
      <c r="D58" s="3">
        <v>9.2836399999999999E-2</v>
      </c>
      <c r="F58" s="3">
        <v>9.7330899999999998E-2</v>
      </c>
      <c r="G58" s="8">
        <v>-4.4945100000000002E-3</v>
      </c>
    </row>
    <row r="59" spans="1:7" ht="12.75" x14ac:dyDescent="0.2">
      <c r="A59" t="s">
        <v>70</v>
      </c>
      <c r="B59" t="s">
        <v>26</v>
      </c>
      <c r="C59" s="4">
        <v>2.56</v>
      </c>
      <c r="D59" s="3">
        <v>9.8440399999999997E-2</v>
      </c>
      <c r="F59" s="3">
        <v>9.7330899999999998E-2</v>
      </c>
      <c r="G59" s="8">
        <v>1.1094900000000001E-3</v>
      </c>
    </row>
    <row r="60" spans="1:7" ht="12.75" x14ac:dyDescent="0.2">
      <c r="A60" t="s">
        <v>62</v>
      </c>
      <c r="B60" t="s">
        <v>23</v>
      </c>
      <c r="C60" s="4">
        <v>1.024</v>
      </c>
      <c r="D60" s="3">
        <v>7.1039199999999997E-2</v>
      </c>
      <c r="E60" s="4">
        <v>2.38462</v>
      </c>
      <c r="F60" s="3">
        <v>7.0412199999999994E-2</v>
      </c>
      <c r="G60" s="9">
        <v>6.2693999999999998E-4</v>
      </c>
    </row>
    <row r="61" spans="1:7" ht="12.75" x14ac:dyDescent="0.2">
      <c r="A61" t="s">
        <v>71</v>
      </c>
      <c r="B61" t="s">
        <v>23</v>
      </c>
      <c r="C61" s="4">
        <v>1.024</v>
      </c>
      <c r="D61" s="3">
        <v>7.2236999999999996E-2</v>
      </c>
      <c r="F61" s="3">
        <v>7.0412199999999994E-2</v>
      </c>
      <c r="G61" s="8">
        <v>1.82479E-3</v>
      </c>
    </row>
    <row r="62" spans="1:7" ht="12.75" x14ac:dyDescent="0.2">
      <c r="A62" t="s">
        <v>72</v>
      </c>
      <c r="B62" t="s">
        <v>23</v>
      </c>
      <c r="C62" s="4">
        <v>1.024</v>
      </c>
      <c r="D62" s="3">
        <v>6.9841299999999995E-2</v>
      </c>
      <c r="F62" s="3">
        <v>7.0412199999999994E-2</v>
      </c>
      <c r="G62" s="9">
        <v>-5.7090999999999999E-4</v>
      </c>
    </row>
    <row r="63" spans="1:7" ht="12.75" x14ac:dyDescent="0.2">
      <c r="A63" t="s">
        <v>62</v>
      </c>
      <c r="B63" t="s">
        <v>20</v>
      </c>
      <c r="C63" s="7">
        <v>0.40960000000000002</v>
      </c>
      <c r="D63" s="3">
        <v>6.0954700000000001E-2</v>
      </c>
      <c r="E63" s="4">
        <v>1.37049</v>
      </c>
      <c r="F63" s="3">
        <v>6.1185099999999999E-2</v>
      </c>
      <c r="G63" s="9">
        <v>-2.3041500000000001E-4</v>
      </c>
    </row>
    <row r="64" spans="1:7" ht="12.75" x14ac:dyDescent="0.2">
      <c r="A64" t="s">
        <v>73</v>
      </c>
      <c r="B64" t="s">
        <v>20</v>
      </c>
      <c r="C64" s="7">
        <v>0.40960000000000002</v>
      </c>
      <c r="D64" s="3">
        <v>6.15454E-2</v>
      </c>
      <c r="F64" s="3">
        <v>6.1185099999999999E-2</v>
      </c>
      <c r="G64" s="9">
        <v>3.6028500000000001E-4</v>
      </c>
    </row>
    <row r="65" spans="1:13" ht="12.75" x14ac:dyDescent="0.2">
      <c r="A65" t="s">
        <v>74</v>
      </c>
      <c r="B65" t="s">
        <v>20</v>
      </c>
      <c r="C65" s="7">
        <v>0.40960000000000002</v>
      </c>
      <c r="D65" s="3">
        <v>6.0364000000000001E-2</v>
      </c>
      <c r="F65" s="3">
        <v>6.1185099999999999E-2</v>
      </c>
      <c r="G65" s="9">
        <v>-8.2111499999999997E-4</v>
      </c>
    </row>
    <row r="66" spans="1:13" ht="12.75" x14ac:dyDescent="0.2">
      <c r="A66" t="s">
        <v>62</v>
      </c>
      <c r="B66" t="s">
        <v>17</v>
      </c>
      <c r="C66" s="7">
        <v>0.16384000000000001</v>
      </c>
      <c r="D66" s="3">
        <v>5.8472099999999999E-2</v>
      </c>
      <c r="E66" s="7">
        <v>0.94531600000000005</v>
      </c>
      <c r="F66" s="3">
        <v>5.8039E-2</v>
      </c>
      <c r="G66" s="9">
        <v>4.3303299999999999E-4</v>
      </c>
    </row>
    <row r="67" spans="1:13" ht="12.75" x14ac:dyDescent="0.2">
      <c r="A67" t="s">
        <v>75</v>
      </c>
      <c r="B67" t="s">
        <v>17</v>
      </c>
      <c r="C67" s="7">
        <v>0.16384000000000001</v>
      </c>
      <c r="D67" s="3">
        <v>5.8081199999999999E-2</v>
      </c>
      <c r="F67" s="3">
        <v>5.8039E-2</v>
      </c>
      <c r="G67">
        <v>4.2182699999999998E-5</v>
      </c>
    </row>
    <row r="68" spans="1:13" ht="12.75" x14ac:dyDescent="0.2">
      <c r="A68" t="s">
        <v>76</v>
      </c>
      <c r="B68" t="s">
        <v>17</v>
      </c>
      <c r="C68" s="7">
        <v>0.16384000000000001</v>
      </c>
      <c r="D68" s="3">
        <v>5.8862900000000003E-2</v>
      </c>
      <c r="F68" s="3">
        <v>5.8039E-2</v>
      </c>
      <c r="G68" s="9">
        <v>8.2388299999999997E-4</v>
      </c>
    </row>
    <row r="69" spans="1:13" ht="12.75" x14ac:dyDescent="0.2"/>
    <row r="70" spans="1:13" ht="12.75" x14ac:dyDescent="0.2"/>
    <row r="71" spans="1:13" ht="12.75" x14ac:dyDescent="0.2">
      <c r="A71" t="s">
        <v>6</v>
      </c>
    </row>
    <row r="72" spans="1:13" ht="12.75" x14ac:dyDescent="0.2">
      <c r="A72" t="s">
        <v>3</v>
      </c>
    </row>
    <row r="73" spans="1:13" ht="12.75" x14ac:dyDescent="0.2">
      <c r="A73" s="21" t="s">
        <v>77</v>
      </c>
      <c r="B73" s="27">
        <v>1</v>
      </c>
      <c r="C73" s="27">
        <v>2</v>
      </c>
      <c r="D73" s="27">
        <v>3</v>
      </c>
      <c r="E73" s="27">
        <v>4</v>
      </c>
      <c r="F73" s="1"/>
      <c r="G73" s="1"/>
      <c r="H73" s="1"/>
      <c r="I73" s="1"/>
      <c r="J73" s="1"/>
      <c r="K73" s="1"/>
      <c r="L73" s="1"/>
      <c r="M73" s="1"/>
    </row>
    <row r="74" spans="1:13" ht="12.75" x14ac:dyDescent="0.2">
      <c r="A74" s="21" t="s">
        <v>8</v>
      </c>
      <c r="B74" s="30">
        <v>5.8081199999999999E-2</v>
      </c>
      <c r="C74" s="30">
        <v>5.8862900000000003E-2</v>
      </c>
      <c r="D74" s="29">
        <v>0.47375299999999998</v>
      </c>
      <c r="E74" s="29">
        <v>0.43708200000000003</v>
      </c>
    </row>
    <row r="75" spans="1:13" ht="12.75" x14ac:dyDescent="0.2">
      <c r="A75" s="21" t="s">
        <v>9</v>
      </c>
      <c r="B75" s="30">
        <v>6.15454E-2</v>
      </c>
      <c r="C75" s="30">
        <v>6.0364000000000001E-2</v>
      </c>
      <c r="D75" s="29">
        <v>0.26747300000000002</v>
      </c>
      <c r="E75" s="29">
        <v>0.27557599999999999</v>
      </c>
    </row>
    <row r="76" spans="1:13" ht="12.75" x14ac:dyDescent="0.2">
      <c r="A76" s="21" t="s">
        <v>10</v>
      </c>
      <c r="B76" s="30">
        <v>7.2236999999999996E-2</v>
      </c>
      <c r="C76" s="30">
        <v>6.9841299999999995E-2</v>
      </c>
      <c r="D76" s="29">
        <v>0.14291799999999999</v>
      </c>
      <c r="E76" s="29">
        <v>0.14793799999999999</v>
      </c>
    </row>
    <row r="77" spans="1:13" ht="12.75" x14ac:dyDescent="0.2">
      <c r="A77" s="21" t="s">
        <v>11</v>
      </c>
      <c r="B77" s="30">
        <v>9.2836399999999999E-2</v>
      </c>
      <c r="C77" s="30">
        <v>9.8440399999999997E-2</v>
      </c>
      <c r="D77" s="29">
        <v>0.12528300000000001</v>
      </c>
      <c r="E77" s="29">
        <v>0.121308</v>
      </c>
    </row>
    <row r="78" spans="1:13" ht="12.75" x14ac:dyDescent="0.2">
      <c r="A78" s="21" t="s">
        <v>12</v>
      </c>
      <c r="B78" s="29">
        <v>0.17904200000000001</v>
      </c>
      <c r="C78" s="29">
        <v>0.172513</v>
      </c>
      <c r="D78" s="29">
        <v>0.31621300000000002</v>
      </c>
      <c r="E78" s="29">
        <v>0.31169999999999998</v>
      </c>
    </row>
    <row r="79" spans="1:13" ht="12.75" x14ac:dyDescent="0.2">
      <c r="A79" s="21" t="s">
        <v>13</v>
      </c>
      <c r="B79" s="29">
        <v>0.37169600000000003</v>
      </c>
      <c r="C79" s="29">
        <v>0.40242899999999998</v>
      </c>
      <c r="D79" s="29">
        <v>0.27078999999999998</v>
      </c>
      <c r="E79" s="29">
        <v>0.26849600000000001</v>
      </c>
    </row>
    <row r="80" spans="1:13" ht="12.75" x14ac:dyDescent="0.2">
      <c r="A80" s="21" t="s">
        <v>14</v>
      </c>
      <c r="B80" s="29">
        <v>0.90369500000000003</v>
      </c>
      <c r="C80" s="29">
        <v>0.91308500000000004</v>
      </c>
      <c r="D80" s="29">
        <v>0.25733699999999998</v>
      </c>
      <c r="E80" s="29">
        <v>0.25798599999999999</v>
      </c>
    </row>
    <row r="81" spans="1:13" ht="12.75" x14ac:dyDescent="0.2">
      <c r="A81" s="21" t="s">
        <v>15</v>
      </c>
      <c r="B81" s="21"/>
      <c r="C81" s="21"/>
      <c r="D81" s="29">
        <v>0.16342300000000001</v>
      </c>
      <c r="E81" s="29">
        <v>0.16034899999999999</v>
      </c>
    </row>
    <row r="82" spans="1:13" ht="12.75" x14ac:dyDescent="0.2"/>
    <row r="83" spans="1:13" ht="12.75" x14ac:dyDescent="0.2">
      <c r="A83" s="21" t="s">
        <v>57</v>
      </c>
      <c r="B83" s="27">
        <v>1</v>
      </c>
      <c r="C83" s="27">
        <v>2</v>
      </c>
      <c r="D83" s="27">
        <v>3</v>
      </c>
      <c r="E83" s="27">
        <v>4</v>
      </c>
      <c r="F83" s="1"/>
      <c r="G83" s="1"/>
      <c r="H83" s="1"/>
      <c r="I83" s="1"/>
      <c r="J83" s="1"/>
      <c r="K83" s="1"/>
      <c r="L83" s="1"/>
      <c r="M83" s="1"/>
    </row>
    <row r="84" spans="1:13" ht="12.75" x14ac:dyDescent="0.2">
      <c r="A84" s="21" t="s">
        <v>8</v>
      </c>
      <c r="B84" s="29">
        <v>0.16745199999999999</v>
      </c>
      <c r="C84" s="29">
        <v>0.23225299999999999</v>
      </c>
      <c r="D84" s="31">
        <v>19.834099999999999</v>
      </c>
      <c r="E84" s="31">
        <v>18.205200000000001</v>
      </c>
    </row>
    <row r="85" spans="1:13" ht="12.75" x14ac:dyDescent="0.2">
      <c r="A85" s="21" t="s">
        <v>9</v>
      </c>
      <c r="B85" s="29">
        <v>0.43576999999999999</v>
      </c>
      <c r="C85" s="29">
        <v>0.34880499999999998</v>
      </c>
      <c r="D85" s="31">
        <v>10.660500000000001</v>
      </c>
      <c r="E85" s="31">
        <v>11.024900000000001</v>
      </c>
    </row>
    <row r="86" spans="1:13" ht="12.75" x14ac:dyDescent="0.2">
      <c r="A86" s="21" t="s">
        <v>10</v>
      </c>
      <c r="B86" s="32">
        <v>1.1367400000000001</v>
      </c>
      <c r="C86" s="29">
        <v>0.98830200000000001</v>
      </c>
      <c r="D86" s="32">
        <v>4.8775899999999996</v>
      </c>
      <c r="E86" s="32">
        <v>5.1219400000000004</v>
      </c>
    </row>
    <row r="87" spans="1:13" ht="12.75" x14ac:dyDescent="0.2">
      <c r="A87" s="21" t="s">
        <v>11</v>
      </c>
      <c r="B87" s="32">
        <v>2.3170899999999999</v>
      </c>
      <c r="C87" s="32">
        <v>2.6194000000000002</v>
      </c>
      <c r="D87" s="32">
        <v>4.00528</v>
      </c>
      <c r="E87" s="32">
        <v>3.8051400000000002</v>
      </c>
    </row>
    <row r="88" spans="1:13" ht="12.75" x14ac:dyDescent="0.2">
      <c r="A88" s="21" t="s">
        <v>12</v>
      </c>
      <c r="B88" s="32">
        <v>6.6063900000000002</v>
      </c>
      <c r="C88" s="32">
        <v>6.2984299999999998</v>
      </c>
      <c r="D88" s="31">
        <v>12.841900000000001</v>
      </c>
      <c r="E88" s="31">
        <v>12.6408</v>
      </c>
    </row>
    <row r="89" spans="1:13" ht="12.75" x14ac:dyDescent="0.2">
      <c r="A89" s="21" t="s">
        <v>13</v>
      </c>
      <c r="B89" s="31">
        <v>15.3066</v>
      </c>
      <c r="C89" s="31">
        <v>16.668800000000001</v>
      </c>
      <c r="D89" s="31">
        <v>10.809799999999999</v>
      </c>
      <c r="E89" s="31">
        <v>10.7066</v>
      </c>
    </row>
    <row r="90" spans="1:13" ht="12.75" x14ac:dyDescent="0.2">
      <c r="A90" s="21" t="s">
        <v>14</v>
      </c>
      <c r="B90" s="31">
        <v>39.770499999999998</v>
      </c>
      <c r="C90" s="31">
        <v>40.232199999999999</v>
      </c>
      <c r="D90" s="31">
        <v>10.2036</v>
      </c>
      <c r="E90" s="31">
        <v>10.232900000000001</v>
      </c>
    </row>
    <row r="91" spans="1:13" ht="12.75" x14ac:dyDescent="0.2">
      <c r="A91" s="21" t="s">
        <v>15</v>
      </c>
      <c r="B91" s="21"/>
      <c r="C91" s="21"/>
      <c r="D91" s="32">
        <v>5.8666900000000002</v>
      </c>
      <c r="E91" s="32">
        <v>5.71983</v>
      </c>
    </row>
    <row r="92" spans="1:13" ht="12.75" x14ac:dyDescent="0.2"/>
    <row r="93" spans="1:13" ht="12.75" x14ac:dyDescent="0.2">
      <c r="A93" t="s">
        <v>16</v>
      </c>
      <c r="B93" s="1">
        <v>1</v>
      </c>
      <c r="C93" s="1">
        <v>2</v>
      </c>
      <c r="D93" s="1">
        <v>3</v>
      </c>
      <c r="E93" s="1">
        <v>4</v>
      </c>
      <c r="F93" s="1"/>
      <c r="G93" s="1"/>
      <c r="H93" s="1"/>
      <c r="I93" s="1"/>
      <c r="J93" s="1"/>
      <c r="K93" s="1"/>
      <c r="L93" s="1"/>
      <c r="M93" s="1"/>
    </row>
    <row r="94" spans="1:13" ht="12.75" x14ac:dyDescent="0.2">
      <c r="A94" t="s">
        <v>8</v>
      </c>
      <c r="B94" s="21" t="s">
        <v>197</v>
      </c>
      <c r="C94" s="21" t="s">
        <v>197</v>
      </c>
      <c r="D94" s="21" t="s">
        <v>199</v>
      </c>
      <c r="E94" s="21" t="s">
        <v>199</v>
      </c>
    </row>
    <row r="95" spans="1:13" ht="12.75" x14ac:dyDescent="0.2">
      <c r="A95" t="s">
        <v>9</v>
      </c>
      <c r="B95" s="21" t="s">
        <v>198</v>
      </c>
      <c r="C95" s="21" t="s">
        <v>198</v>
      </c>
      <c r="D95" s="21" t="s">
        <v>201</v>
      </c>
      <c r="E95" s="21" t="s">
        <v>201</v>
      </c>
    </row>
    <row r="96" spans="1:13" ht="12.75" x14ac:dyDescent="0.2">
      <c r="A96" t="s">
        <v>10</v>
      </c>
      <c r="B96" s="21" t="s">
        <v>200</v>
      </c>
      <c r="C96" s="21" t="s">
        <v>200</v>
      </c>
      <c r="D96" s="21" t="s">
        <v>203</v>
      </c>
      <c r="E96" s="21" t="s">
        <v>203</v>
      </c>
    </row>
    <row r="97" spans="1:7" ht="12.75" x14ac:dyDescent="0.2">
      <c r="A97" t="s">
        <v>11</v>
      </c>
      <c r="B97" s="21" t="s">
        <v>202</v>
      </c>
      <c r="C97" s="21" t="s">
        <v>202</v>
      </c>
      <c r="D97" s="21" t="s">
        <v>207</v>
      </c>
      <c r="E97" s="21" t="s">
        <v>207</v>
      </c>
    </row>
    <row r="98" spans="1:7" ht="12.75" x14ac:dyDescent="0.2">
      <c r="A98" t="s">
        <v>12</v>
      </c>
      <c r="B98" s="21" t="s">
        <v>204</v>
      </c>
      <c r="C98" s="21" t="s">
        <v>204</v>
      </c>
      <c r="D98" s="22" t="s">
        <v>218</v>
      </c>
      <c r="E98" s="22" t="s">
        <v>218</v>
      </c>
    </row>
    <row r="99" spans="1:7" ht="12.75" x14ac:dyDescent="0.2">
      <c r="A99" t="s">
        <v>13</v>
      </c>
      <c r="B99" s="21" t="s">
        <v>205</v>
      </c>
      <c r="C99" s="21" t="s">
        <v>205</v>
      </c>
      <c r="D99" s="22" t="s">
        <v>219</v>
      </c>
      <c r="E99" s="22" t="s">
        <v>219</v>
      </c>
    </row>
    <row r="100" spans="1:7" ht="12.75" x14ac:dyDescent="0.2">
      <c r="A100" t="s">
        <v>14</v>
      </c>
      <c r="B100" s="21" t="s">
        <v>206</v>
      </c>
      <c r="C100" s="21" t="s">
        <v>206</v>
      </c>
      <c r="D100" s="22" t="s">
        <v>220</v>
      </c>
      <c r="E100" s="22" t="s">
        <v>220</v>
      </c>
    </row>
    <row r="101" spans="1:7" ht="12.75" x14ac:dyDescent="0.2">
      <c r="A101" t="s">
        <v>15</v>
      </c>
      <c r="B101" s="21" t="s">
        <v>38</v>
      </c>
      <c r="C101" s="21" t="s">
        <v>38</v>
      </c>
      <c r="D101" s="23" t="s">
        <v>221</v>
      </c>
      <c r="E101" s="23" t="s">
        <v>216</v>
      </c>
    </row>
    <row r="103" spans="1:7" ht="12.75" x14ac:dyDescent="0.2">
      <c r="A103" t="s">
        <v>78</v>
      </c>
    </row>
    <row r="104" spans="1:7" ht="15" customHeight="1" x14ac:dyDescent="0.2">
      <c r="D104" s="24"/>
      <c r="E104" s="45" t="s">
        <v>217</v>
      </c>
      <c r="F104" s="45"/>
      <c r="G104" s="45"/>
    </row>
    <row r="105" spans="1:7" ht="15" customHeight="1" x14ac:dyDescent="0.2">
      <c r="D105" s="25"/>
      <c r="E105" s="44" t="s">
        <v>208</v>
      </c>
      <c r="F105" s="44"/>
      <c r="G105" s="44"/>
    </row>
  </sheetData>
  <mergeCells count="2">
    <mergeCell ref="E104:G104"/>
    <mergeCell ref="E105:G10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nk Subtraction 1_03"/>
  <dimension ref="A1:M35"/>
  <sheetViews>
    <sheetView topLeftCell="A16" workbookViewId="0">
      <selection activeCell="D28" sqref="D28:E31"/>
    </sheetView>
  </sheetViews>
  <sheetFormatPr defaultColWidth="9.140625" defaultRowHeight="15" customHeight="1" x14ac:dyDescent="0.2"/>
  <cols>
    <col min="1" max="1" width="17.42578125" customWidth="1"/>
    <col min="2" max="3" width="12.42578125" customWidth="1"/>
    <col min="4" max="4" width="11.28515625" customWidth="1"/>
    <col min="5" max="5" width="11.42578125" customWidth="1"/>
    <col min="6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79</v>
      </c>
    </row>
    <row r="9" spans="1:13" ht="15" customHeight="1" x14ac:dyDescent="0.2">
      <c r="A9" t="s">
        <v>5</v>
      </c>
    </row>
    <row r="10" spans="1:13" ht="15" customHeight="1" x14ac:dyDescent="0.2">
      <c r="A10" t="s">
        <v>3</v>
      </c>
    </row>
    <row r="11" spans="1:13" ht="15" customHeight="1" x14ac:dyDescent="0.2">
      <c r="A11" t="s">
        <v>6</v>
      </c>
    </row>
    <row r="12" spans="1:13" ht="15" customHeight="1" x14ac:dyDescent="0.2">
      <c r="A12" t="s">
        <v>3</v>
      </c>
    </row>
    <row r="13" spans="1:13" ht="15" customHeight="1" x14ac:dyDescent="0.2">
      <c r="A13" s="21" t="s">
        <v>80</v>
      </c>
      <c r="B13" s="27">
        <v>1</v>
      </c>
      <c r="C13" s="27">
        <v>2</v>
      </c>
      <c r="D13" s="27">
        <v>3</v>
      </c>
      <c r="E13" s="27">
        <v>4</v>
      </c>
      <c r="F13" s="1"/>
      <c r="G13" s="1"/>
      <c r="H13" s="1"/>
      <c r="I13" s="1"/>
      <c r="J13" s="1"/>
      <c r="K13" s="1"/>
      <c r="L13" s="1"/>
      <c r="M13" s="1"/>
    </row>
    <row r="14" spans="1:13" ht="15" customHeight="1" x14ac:dyDescent="0.2">
      <c r="A14" s="21" t="s">
        <v>8</v>
      </c>
      <c r="B14" s="28">
        <v>2.5511499999999999E-3</v>
      </c>
      <c r="C14" s="28">
        <v>3.33285E-3</v>
      </c>
      <c r="D14" s="29">
        <v>0.41822300000000001</v>
      </c>
      <c r="E14" s="29">
        <v>0.381552</v>
      </c>
    </row>
    <row r="15" spans="1:13" ht="15" customHeight="1" x14ac:dyDescent="0.2">
      <c r="A15" s="21" t="s">
        <v>9</v>
      </c>
      <c r="B15" s="28">
        <v>6.01535E-3</v>
      </c>
      <c r="C15" s="28">
        <v>4.8339500000000001E-3</v>
      </c>
      <c r="D15" s="29">
        <v>0.21194299999999999</v>
      </c>
      <c r="E15" s="29">
        <v>0.22004599999999999</v>
      </c>
    </row>
    <row r="16" spans="1:13" ht="15" customHeight="1" x14ac:dyDescent="0.2">
      <c r="A16" s="21" t="s">
        <v>10</v>
      </c>
      <c r="B16" s="30">
        <v>1.6707E-2</v>
      </c>
      <c r="C16" s="30">
        <v>1.43112E-2</v>
      </c>
      <c r="D16" s="30">
        <v>8.7387999999999993E-2</v>
      </c>
      <c r="E16" s="30">
        <v>9.2408000000000004E-2</v>
      </c>
    </row>
    <row r="17" spans="1:13" ht="15" customHeight="1" x14ac:dyDescent="0.2">
      <c r="A17" s="21" t="s">
        <v>11</v>
      </c>
      <c r="B17" s="30">
        <v>3.7306400000000003E-2</v>
      </c>
      <c r="C17" s="30">
        <v>4.2910400000000001E-2</v>
      </c>
      <c r="D17" s="30">
        <v>6.9752900000000007E-2</v>
      </c>
      <c r="E17" s="30">
        <v>6.5778000000000003E-2</v>
      </c>
    </row>
    <row r="18" spans="1:13" ht="15" customHeight="1" x14ac:dyDescent="0.2">
      <c r="A18" s="21" t="s">
        <v>12</v>
      </c>
      <c r="B18" s="29">
        <v>0.123512</v>
      </c>
      <c r="C18" s="29">
        <v>0.116983</v>
      </c>
      <c r="D18" s="29">
        <v>0.260683</v>
      </c>
      <c r="E18" s="29">
        <v>0.25617000000000001</v>
      </c>
    </row>
    <row r="19" spans="1:13" ht="15" customHeight="1" x14ac:dyDescent="0.2">
      <c r="A19" s="21" t="s">
        <v>13</v>
      </c>
      <c r="B19" s="29">
        <v>0.316166</v>
      </c>
      <c r="C19" s="29">
        <v>0.34689900000000001</v>
      </c>
      <c r="D19" s="29">
        <v>0.21526000000000001</v>
      </c>
      <c r="E19" s="29">
        <v>0.21296599999999999</v>
      </c>
    </row>
    <row r="20" spans="1:13" ht="15" customHeight="1" x14ac:dyDescent="0.2">
      <c r="A20" s="21" t="s">
        <v>14</v>
      </c>
      <c r="B20" s="29">
        <v>0.84816499999999995</v>
      </c>
      <c r="C20" s="29">
        <v>0.85755499999999996</v>
      </c>
      <c r="D20" s="29">
        <v>0.20180699999999999</v>
      </c>
      <c r="E20" s="29">
        <v>0.202456</v>
      </c>
    </row>
    <row r="21" spans="1:13" ht="15" customHeight="1" x14ac:dyDescent="0.2">
      <c r="A21" s="21" t="s">
        <v>15</v>
      </c>
      <c r="B21" s="27">
        <v>9.4549999999999994E-5</v>
      </c>
      <c r="C21" s="27">
        <v>-9.4549999999999994E-5</v>
      </c>
      <c r="D21" s="29">
        <v>0.107893</v>
      </c>
      <c r="E21" s="29">
        <v>0.104819</v>
      </c>
    </row>
    <row r="23" spans="1:13" ht="15" customHeight="1" x14ac:dyDescent="0.2">
      <c r="A23" s="21" t="s">
        <v>16</v>
      </c>
      <c r="B23" s="27">
        <v>1</v>
      </c>
      <c r="C23" s="27">
        <v>2</v>
      </c>
      <c r="D23" s="27">
        <v>3</v>
      </c>
      <c r="E23" s="27">
        <v>4</v>
      </c>
      <c r="F23" s="1"/>
      <c r="G23" s="1"/>
      <c r="H23" s="1"/>
      <c r="I23" s="1"/>
      <c r="J23" s="1"/>
      <c r="K23" s="1"/>
      <c r="L23" s="1"/>
      <c r="M23" s="1"/>
    </row>
    <row r="24" spans="1:13" ht="15" customHeight="1" x14ac:dyDescent="0.2">
      <c r="A24" s="21" t="s">
        <v>8</v>
      </c>
      <c r="B24" s="21" t="s">
        <v>197</v>
      </c>
      <c r="C24" s="21" t="s">
        <v>197</v>
      </c>
      <c r="D24" s="21" t="s">
        <v>199</v>
      </c>
      <c r="E24" s="21" t="s">
        <v>199</v>
      </c>
    </row>
    <row r="25" spans="1:13" ht="15" customHeight="1" x14ac:dyDescent="0.2">
      <c r="A25" s="21" t="s">
        <v>9</v>
      </c>
      <c r="B25" s="21" t="s">
        <v>198</v>
      </c>
      <c r="C25" s="21" t="s">
        <v>198</v>
      </c>
      <c r="D25" s="21" t="s">
        <v>201</v>
      </c>
      <c r="E25" s="21" t="s">
        <v>201</v>
      </c>
    </row>
    <row r="26" spans="1:13" ht="15" customHeight="1" x14ac:dyDescent="0.2">
      <c r="A26" s="21" t="s">
        <v>10</v>
      </c>
      <c r="B26" s="21" t="s">
        <v>200</v>
      </c>
      <c r="C26" s="21" t="s">
        <v>200</v>
      </c>
      <c r="D26" s="21" t="s">
        <v>203</v>
      </c>
      <c r="E26" s="21" t="s">
        <v>203</v>
      </c>
    </row>
    <row r="27" spans="1:13" ht="15" customHeight="1" x14ac:dyDescent="0.2">
      <c r="A27" s="21" t="s">
        <v>11</v>
      </c>
      <c r="B27" s="21" t="s">
        <v>202</v>
      </c>
      <c r="C27" s="21" t="s">
        <v>202</v>
      </c>
      <c r="D27" s="21" t="s">
        <v>207</v>
      </c>
      <c r="E27" s="21" t="s">
        <v>207</v>
      </c>
    </row>
    <row r="28" spans="1:13" ht="15" customHeight="1" x14ac:dyDescent="0.2">
      <c r="A28" s="21" t="s">
        <v>12</v>
      </c>
      <c r="B28" s="21" t="s">
        <v>204</v>
      </c>
      <c r="C28" s="21" t="s">
        <v>204</v>
      </c>
      <c r="D28" s="22" t="s">
        <v>218</v>
      </c>
      <c r="E28" s="22" t="s">
        <v>218</v>
      </c>
    </row>
    <row r="29" spans="1:13" ht="15" customHeight="1" x14ac:dyDescent="0.2">
      <c r="A29" s="21" t="s">
        <v>13</v>
      </c>
      <c r="B29" s="21" t="s">
        <v>205</v>
      </c>
      <c r="C29" s="21" t="s">
        <v>205</v>
      </c>
      <c r="D29" s="22" t="s">
        <v>219</v>
      </c>
      <c r="E29" s="22" t="s">
        <v>219</v>
      </c>
    </row>
    <row r="30" spans="1:13" ht="15" customHeight="1" x14ac:dyDescent="0.2">
      <c r="A30" s="21" t="s">
        <v>14</v>
      </c>
      <c r="B30" s="21" t="s">
        <v>206</v>
      </c>
      <c r="C30" s="21" t="s">
        <v>206</v>
      </c>
      <c r="D30" s="22" t="s">
        <v>220</v>
      </c>
      <c r="E30" s="22" t="s">
        <v>220</v>
      </c>
    </row>
    <row r="31" spans="1:13" ht="15" customHeight="1" x14ac:dyDescent="0.2">
      <c r="A31" s="21" t="s">
        <v>15</v>
      </c>
      <c r="B31" s="21" t="s">
        <v>38</v>
      </c>
      <c r="C31" s="21" t="s">
        <v>38</v>
      </c>
      <c r="D31" s="23" t="s">
        <v>221</v>
      </c>
      <c r="E31" s="23" t="s">
        <v>216</v>
      </c>
    </row>
    <row r="33" spans="1:6" ht="15" customHeight="1" x14ac:dyDescent="0.2">
      <c r="A33" t="s">
        <v>81</v>
      </c>
    </row>
    <row r="34" spans="1:6" ht="15" customHeight="1" x14ac:dyDescent="0.2">
      <c r="C34" s="24"/>
      <c r="D34" s="45" t="s">
        <v>217</v>
      </c>
      <c r="E34" s="45"/>
      <c r="F34" s="45"/>
    </row>
    <row r="35" spans="1:6" ht="15" customHeight="1" x14ac:dyDescent="0.2">
      <c r="C35" s="25"/>
      <c r="D35" s="44" t="s">
        <v>208</v>
      </c>
      <c r="E35" s="44"/>
      <c r="F35" s="44"/>
    </row>
  </sheetData>
  <mergeCells count="2">
    <mergeCell ref="D34:F34"/>
    <mergeCell ref="D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tandard Curve 2_04"/>
  <dimension ref="A1:U106"/>
  <sheetViews>
    <sheetView tabSelected="1" topLeftCell="A73" workbookViewId="0">
      <selection activeCell="U102" sqref="U102"/>
    </sheetView>
  </sheetViews>
  <sheetFormatPr defaultColWidth="9.140625" defaultRowHeight="15" customHeight="1" x14ac:dyDescent="0.2"/>
  <cols>
    <col min="1" max="5" width="10.28515625" customWidth="1"/>
    <col min="6" max="7" width="14.42578125" customWidth="1"/>
    <col min="8" max="8" width="3.140625" customWidth="1"/>
    <col min="9" max="9" width="11.42578125" customWidth="1"/>
    <col min="10" max="10" width="10.28515625" customWidth="1"/>
    <col min="11" max="11" width="12.28515625" customWidth="1"/>
    <col min="12" max="12" width="11.140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82</v>
      </c>
    </row>
    <row r="7" spans="1:1" ht="15" customHeight="1" x14ac:dyDescent="0.2">
      <c r="A7" t="s">
        <v>43</v>
      </c>
    </row>
    <row r="8" spans="1:1" ht="15" customHeight="1" x14ac:dyDescent="0.2">
      <c r="A8" t="s">
        <v>44</v>
      </c>
    </row>
    <row r="9" spans="1:1" ht="15" customHeight="1" x14ac:dyDescent="0.2">
      <c r="A9" t="s">
        <v>45</v>
      </c>
    </row>
    <row r="10" spans="1:1" ht="15" customHeight="1" x14ac:dyDescent="0.2">
      <c r="A10" t="s">
        <v>5</v>
      </c>
    </row>
    <row r="11" spans="1:1" ht="15" customHeight="1" x14ac:dyDescent="0.2">
      <c r="A11" t="s">
        <v>46</v>
      </c>
    </row>
    <row r="12" spans="1:1" ht="15" customHeight="1" x14ac:dyDescent="0.2">
      <c r="A12" t="s">
        <v>47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83</v>
      </c>
    </row>
    <row r="38" spans="1:7" ht="15" customHeight="1" x14ac:dyDescent="0.2">
      <c r="A38" t="s">
        <v>49</v>
      </c>
    </row>
    <row r="39" spans="1:7" ht="12.75" x14ac:dyDescent="0.2">
      <c r="A39" t="s">
        <v>50</v>
      </c>
    </row>
    <row r="40" spans="1:7" ht="12.75" x14ac:dyDescent="0.2">
      <c r="A40" t="s">
        <v>51</v>
      </c>
      <c r="B40" s="9">
        <v>8.8633600000000005E-4</v>
      </c>
    </row>
    <row r="41" spans="1:7" ht="12.75" x14ac:dyDescent="0.2">
      <c r="A41" t="s">
        <v>52</v>
      </c>
      <c r="B41" s="4">
        <v>1.1772800000000001</v>
      </c>
    </row>
    <row r="42" spans="1:7" ht="12.75" x14ac:dyDescent="0.2">
      <c r="A42" t="s">
        <v>53</v>
      </c>
      <c r="B42" s="5">
        <v>137.98400000000001</v>
      </c>
    </row>
    <row r="43" spans="1:7" ht="12.75" x14ac:dyDescent="0.2">
      <c r="A43" t="s">
        <v>54</v>
      </c>
      <c r="B43" s="4">
        <v>4.5131199999999998</v>
      </c>
    </row>
    <row r="44" spans="1:7" ht="12.75" x14ac:dyDescent="0.2"/>
    <row r="45" spans="1:7" ht="12.75" x14ac:dyDescent="0.2">
      <c r="A45" t="s">
        <v>55</v>
      </c>
    </row>
    <row r="46" spans="1:7" ht="12.75" x14ac:dyDescent="0.2">
      <c r="A46" t="s">
        <v>3</v>
      </c>
    </row>
    <row r="47" spans="1:7" ht="12.75" x14ac:dyDescent="0.2">
      <c r="A47" t="s">
        <v>56</v>
      </c>
      <c r="B47" t="s">
        <v>16</v>
      </c>
      <c r="C47" t="s">
        <v>57</v>
      </c>
      <c r="D47" t="s">
        <v>58</v>
      </c>
      <c r="E47" t="s">
        <v>59</v>
      </c>
      <c r="F47" t="s">
        <v>60</v>
      </c>
      <c r="G47" t="s">
        <v>61</v>
      </c>
    </row>
    <row r="48" spans="1:7" ht="12.75" x14ac:dyDescent="0.2">
      <c r="A48" t="s">
        <v>62</v>
      </c>
      <c r="B48" t="s">
        <v>35</v>
      </c>
      <c r="C48" s="6">
        <v>40</v>
      </c>
      <c r="D48" s="7">
        <v>0.85285999999999995</v>
      </c>
      <c r="E48" s="7">
        <v>0.77852600000000005</v>
      </c>
      <c r="F48" s="7">
        <v>0.85283600000000004</v>
      </c>
      <c r="G48">
        <v>2.3912599999999999E-5</v>
      </c>
    </row>
    <row r="49" spans="1:7" ht="12.75" x14ac:dyDescent="0.2">
      <c r="A49" t="s">
        <v>63</v>
      </c>
      <c r="B49" t="s">
        <v>35</v>
      </c>
      <c r="C49" s="6">
        <v>40</v>
      </c>
      <c r="D49" s="7">
        <v>0.84816499999999995</v>
      </c>
      <c r="F49" s="7">
        <v>0.85283600000000004</v>
      </c>
      <c r="G49" s="8">
        <v>-4.6710900000000001E-3</v>
      </c>
    </row>
    <row r="50" spans="1:7" ht="12.75" x14ac:dyDescent="0.2">
      <c r="A50" t="s">
        <v>64</v>
      </c>
      <c r="B50" t="s">
        <v>35</v>
      </c>
      <c r="C50" s="6">
        <v>40</v>
      </c>
      <c r="D50" s="7">
        <v>0.85755499999999996</v>
      </c>
      <c r="F50" s="7">
        <v>0.85283600000000004</v>
      </c>
      <c r="G50" s="8">
        <v>4.7189099999999998E-3</v>
      </c>
    </row>
    <row r="51" spans="1:7" ht="12.75" x14ac:dyDescent="0.2">
      <c r="A51" t="s">
        <v>62</v>
      </c>
      <c r="B51" t="s">
        <v>32</v>
      </c>
      <c r="C51" s="6">
        <v>16</v>
      </c>
      <c r="D51" s="7">
        <v>0.33153199999999999</v>
      </c>
      <c r="E51" s="4">
        <v>6.5548700000000002</v>
      </c>
      <c r="F51" s="7">
        <v>0.33180900000000002</v>
      </c>
      <c r="G51" s="9">
        <v>-2.7608E-4</v>
      </c>
    </row>
    <row r="52" spans="1:7" ht="12.75" x14ac:dyDescent="0.2">
      <c r="A52" t="s">
        <v>65</v>
      </c>
      <c r="B52" t="s">
        <v>32</v>
      </c>
      <c r="C52" s="6">
        <v>16</v>
      </c>
      <c r="D52" s="7">
        <v>0.316166</v>
      </c>
      <c r="F52" s="7">
        <v>0.33180900000000002</v>
      </c>
      <c r="G52" s="3">
        <v>-1.56426E-2</v>
      </c>
    </row>
    <row r="53" spans="1:7" ht="12.75" x14ac:dyDescent="0.2">
      <c r="A53" t="s">
        <v>66</v>
      </c>
      <c r="B53" t="s">
        <v>32</v>
      </c>
      <c r="C53" s="6">
        <v>16</v>
      </c>
      <c r="D53" s="7">
        <v>0.34689900000000001</v>
      </c>
      <c r="F53" s="7">
        <v>0.33180900000000002</v>
      </c>
      <c r="G53" s="3">
        <v>1.50904E-2</v>
      </c>
    </row>
    <row r="54" spans="1:7" ht="12.75" x14ac:dyDescent="0.2">
      <c r="A54" t="s">
        <v>62</v>
      </c>
      <c r="B54" t="s">
        <v>29</v>
      </c>
      <c r="C54" s="4">
        <v>6.4</v>
      </c>
      <c r="D54" s="7">
        <v>0.12024700000000001</v>
      </c>
      <c r="E54" s="4">
        <v>3.8393299999999999</v>
      </c>
      <c r="F54" s="7">
        <v>0.119132</v>
      </c>
      <c r="G54" s="8">
        <v>1.11512E-3</v>
      </c>
    </row>
    <row r="55" spans="1:7" ht="12.75" x14ac:dyDescent="0.2">
      <c r="A55" t="s">
        <v>67</v>
      </c>
      <c r="B55" t="s">
        <v>29</v>
      </c>
      <c r="C55" s="4">
        <v>6.4</v>
      </c>
      <c r="D55" s="7">
        <v>0.123512</v>
      </c>
      <c r="F55" s="7">
        <v>0.119132</v>
      </c>
      <c r="G55" s="8">
        <v>4.3796199999999999E-3</v>
      </c>
    </row>
    <row r="56" spans="1:7" ht="12.75" x14ac:dyDescent="0.2">
      <c r="A56" t="s">
        <v>68</v>
      </c>
      <c r="B56" t="s">
        <v>29</v>
      </c>
      <c r="C56" s="4">
        <v>6.4</v>
      </c>
      <c r="D56" s="7">
        <v>0.116983</v>
      </c>
      <c r="F56" s="7">
        <v>0.119132</v>
      </c>
      <c r="G56" s="8">
        <v>-2.1493800000000002E-3</v>
      </c>
    </row>
    <row r="57" spans="1:7" ht="12.75" x14ac:dyDescent="0.2">
      <c r="A57" t="s">
        <v>62</v>
      </c>
      <c r="B57" t="s">
        <v>26</v>
      </c>
      <c r="C57" s="4">
        <v>2.56</v>
      </c>
      <c r="D57" s="3">
        <v>4.0108400000000002E-2</v>
      </c>
      <c r="E57" s="4">
        <v>9.8797999999999995</v>
      </c>
      <c r="F57" s="3">
        <v>4.1800900000000002E-2</v>
      </c>
      <c r="G57" s="8">
        <v>-1.6925099999999999E-3</v>
      </c>
    </row>
    <row r="58" spans="1:7" ht="12.75" x14ac:dyDescent="0.2">
      <c r="A58" t="s">
        <v>69</v>
      </c>
      <c r="B58" t="s">
        <v>26</v>
      </c>
      <c r="C58" s="4">
        <v>2.56</v>
      </c>
      <c r="D58" s="3">
        <v>3.7306400000000003E-2</v>
      </c>
      <c r="F58" s="3">
        <v>4.1800900000000002E-2</v>
      </c>
      <c r="G58" s="8">
        <v>-4.4945100000000002E-3</v>
      </c>
    </row>
    <row r="59" spans="1:7" ht="12.75" x14ac:dyDescent="0.2">
      <c r="A59" t="s">
        <v>70</v>
      </c>
      <c r="B59" t="s">
        <v>26</v>
      </c>
      <c r="C59" s="4">
        <v>2.56</v>
      </c>
      <c r="D59" s="3">
        <v>4.2910400000000001E-2</v>
      </c>
      <c r="F59" s="3">
        <v>4.1800900000000002E-2</v>
      </c>
      <c r="G59" s="8">
        <v>1.1094900000000001E-3</v>
      </c>
    </row>
    <row r="60" spans="1:7" ht="12.75" x14ac:dyDescent="0.2">
      <c r="A60" t="s">
        <v>62</v>
      </c>
      <c r="B60" t="s">
        <v>23</v>
      </c>
      <c r="C60" s="4">
        <v>1.024</v>
      </c>
      <c r="D60" s="3">
        <v>1.55091E-2</v>
      </c>
      <c r="E60" s="6">
        <v>10.922700000000001</v>
      </c>
      <c r="F60" s="3">
        <v>1.48822E-2</v>
      </c>
      <c r="G60" s="9">
        <v>6.2693999999999998E-4</v>
      </c>
    </row>
    <row r="61" spans="1:7" ht="12.75" x14ac:dyDescent="0.2">
      <c r="A61" t="s">
        <v>71</v>
      </c>
      <c r="B61" t="s">
        <v>23</v>
      </c>
      <c r="C61" s="4">
        <v>1.024</v>
      </c>
      <c r="D61" s="3">
        <v>1.6707E-2</v>
      </c>
      <c r="F61" s="3">
        <v>1.48822E-2</v>
      </c>
      <c r="G61" s="8">
        <v>1.82479E-3</v>
      </c>
    </row>
    <row r="62" spans="1:7" ht="12.75" x14ac:dyDescent="0.2">
      <c r="A62" t="s">
        <v>72</v>
      </c>
      <c r="B62" t="s">
        <v>23</v>
      </c>
      <c r="C62" s="4">
        <v>1.024</v>
      </c>
      <c r="D62" s="3">
        <v>1.43112E-2</v>
      </c>
      <c r="F62" s="3">
        <v>1.48822E-2</v>
      </c>
      <c r="G62" s="9">
        <v>-5.7090999999999999E-4</v>
      </c>
    </row>
    <row r="63" spans="1:7" ht="12.75" x14ac:dyDescent="0.2">
      <c r="A63" t="s">
        <v>62</v>
      </c>
      <c r="B63" t="s">
        <v>20</v>
      </c>
      <c r="C63" s="7">
        <v>0.40960000000000002</v>
      </c>
      <c r="D63" s="8">
        <v>5.4246499999999996E-3</v>
      </c>
      <c r="E63" s="6">
        <v>15.3996</v>
      </c>
      <c r="F63" s="8">
        <v>5.6550699999999999E-3</v>
      </c>
      <c r="G63" s="9">
        <v>-2.3041500000000001E-4</v>
      </c>
    </row>
    <row r="64" spans="1:7" ht="12.75" x14ac:dyDescent="0.2">
      <c r="A64" t="s">
        <v>73</v>
      </c>
      <c r="B64" t="s">
        <v>20</v>
      </c>
      <c r="C64" s="7">
        <v>0.40960000000000002</v>
      </c>
      <c r="D64" s="8">
        <v>6.01535E-3</v>
      </c>
      <c r="F64" s="8">
        <v>5.6550699999999999E-3</v>
      </c>
      <c r="G64" s="9">
        <v>3.6028500000000001E-4</v>
      </c>
    </row>
    <row r="65" spans="1:12" ht="12.75" x14ac:dyDescent="0.2">
      <c r="A65" t="s">
        <v>74</v>
      </c>
      <c r="B65" t="s">
        <v>20</v>
      </c>
      <c r="C65" s="7">
        <v>0.40960000000000002</v>
      </c>
      <c r="D65" s="8">
        <v>4.8339500000000001E-3</v>
      </c>
      <c r="F65" s="8">
        <v>5.6550699999999999E-3</v>
      </c>
      <c r="G65" s="9">
        <v>-8.2111499999999997E-4</v>
      </c>
    </row>
    <row r="66" spans="1:12" ht="12.75" x14ac:dyDescent="0.2">
      <c r="A66" t="s">
        <v>62</v>
      </c>
      <c r="B66" t="s">
        <v>17</v>
      </c>
      <c r="C66" s="7">
        <v>0.16384000000000001</v>
      </c>
      <c r="D66" s="8">
        <v>2.9420000000000002E-3</v>
      </c>
      <c r="E66" s="6">
        <v>18.7881</v>
      </c>
      <c r="F66" s="8">
        <v>2.5089700000000001E-3</v>
      </c>
      <c r="G66" s="9">
        <v>4.3303299999999999E-4</v>
      </c>
    </row>
    <row r="67" spans="1:12" ht="12.75" x14ac:dyDescent="0.2">
      <c r="A67" t="s">
        <v>75</v>
      </c>
      <c r="B67" t="s">
        <v>17</v>
      </c>
      <c r="C67" s="7">
        <v>0.16384000000000001</v>
      </c>
      <c r="D67" s="8">
        <v>2.5511499999999999E-3</v>
      </c>
      <c r="F67" s="8">
        <v>2.5089700000000001E-3</v>
      </c>
      <c r="G67">
        <v>4.2182699999999998E-5</v>
      </c>
    </row>
    <row r="68" spans="1:12" ht="12.75" x14ac:dyDescent="0.2">
      <c r="A68" t="s">
        <v>76</v>
      </c>
      <c r="B68" t="s">
        <v>17</v>
      </c>
      <c r="C68" s="7">
        <v>0.16384000000000001</v>
      </c>
      <c r="D68" s="8">
        <v>3.33285E-3</v>
      </c>
      <c r="F68" s="8">
        <v>2.5089700000000001E-3</v>
      </c>
      <c r="G68" s="9">
        <v>8.2388299999999997E-4</v>
      </c>
    </row>
    <row r="69" spans="1:12" ht="12.75" x14ac:dyDescent="0.2"/>
    <row r="70" spans="1:12" ht="12.75" x14ac:dyDescent="0.2"/>
    <row r="71" spans="1:12" ht="12.75" x14ac:dyDescent="0.2">
      <c r="A71" t="s">
        <v>6</v>
      </c>
    </row>
    <row r="72" spans="1:12" ht="12.75" x14ac:dyDescent="0.2">
      <c r="A72" t="s">
        <v>3</v>
      </c>
    </row>
    <row r="73" spans="1:12" ht="12.75" x14ac:dyDescent="0.2">
      <c r="A73" s="21" t="s">
        <v>77</v>
      </c>
      <c r="B73" s="27">
        <v>1</v>
      </c>
      <c r="C73" s="27">
        <v>2</v>
      </c>
      <c r="D73" s="27">
        <v>3</v>
      </c>
      <c r="E73" s="27">
        <v>4</v>
      </c>
      <c r="F73" s="1"/>
      <c r="G73" s="1"/>
      <c r="H73" s="1"/>
      <c r="I73" s="1"/>
      <c r="J73" s="1"/>
    </row>
    <row r="74" spans="1:12" ht="12.75" x14ac:dyDescent="0.2">
      <c r="A74" s="21" t="s">
        <v>8</v>
      </c>
      <c r="B74" s="28">
        <v>2.5511499999999999E-3</v>
      </c>
      <c r="C74" s="28">
        <v>3.33285E-3</v>
      </c>
      <c r="D74" s="29">
        <v>0.41822300000000001</v>
      </c>
      <c r="E74" s="29">
        <v>0.381552</v>
      </c>
    </row>
    <row r="75" spans="1:12" ht="12.75" x14ac:dyDescent="0.2">
      <c r="A75" s="21" t="s">
        <v>9</v>
      </c>
      <c r="B75" s="28">
        <v>6.01535E-3</v>
      </c>
      <c r="C75" s="28">
        <v>4.8339500000000001E-3</v>
      </c>
      <c r="D75" s="29">
        <v>0.21194299999999999</v>
      </c>
      <c r="E75" s="29">
        <v>0.22004599999999999</v>
      </c>
    </row>
    <row r="76" spans="1:12" ht="12.75" x14ac:dyDescent="0.2">
      <c r="A76" s="21" t="s">
        <v>10</v>
      </c>
      <c r="B76" s="30">
        <v>1.6707E-2</v>
      </c>
      <c r="C76" s="30">
        <v>1.43112E-2</v>
      </c>
      <c r="D76" s="30">
        <v>8.7387999999999993E-2</v>
      </c>
      <c r="E76" s="30">
        <v>9.2408000000000004E-2</v>
      </c>
    </row>
    <row r="77" spans="1:12" ht="12.75" x14ac:dyDescent="0.2">
      <c r="A77" s="21" t="s">
        <v>11</v>
      </c>
      <c r="B77" s="30">
        <v>3.7306400000000003E-2</v>
      </c>
      <c r="C77" s="30">
        <v>4.2910400000000001E-2</v>
      </c>
      <c r="D77" s="30">
        <v>6.9752900000000007E-2</v>
      </c>
      <c r="E77" s="30">
        <v>6.5778000000000003E-2</v>
      </c>
    </row>
    <row r="78" spans="1:12" ht="12.75" x14ac:dyDescent="0.2">
      <c r="A78" s="21" t="s">
        <v>12</v>
      </c>
      <c r="B78" s="29">
        <v>0.123512</v>
      </c>
      <c r="C78" s="29">
        <v>0.116983</v>
      </c>
      <c r="D78" s="29">
        <v>0.260683</v>
      </c>
      <c r="E78" s="29">
        <v>0.25617000000000001</v>
      </c>
    </row>
    <row r="79" spans="1:12" ht="12.75" x14ac:dyDescent="0.2">
      <c r="A79" s="21" t="s">
        <v>13</v>
      </c>
      <c r="B79" s="29">
        <v>0.316166</v>
      </c>
      <c r="C79" s="29">
        <v>0.34689900000000001</v>
      </c>
      <c r="D79" s="29">
        <v>0.21526000000000001</v>
      </c>
      <c r="E79" s="29">
        <v>0.21296599999999999</v>
      </c>
    </row>
    <row r="80" spans="1:12" ht="12.75" x14ac:dyDescent="0.2">
      <c r="A80" s="21" t="s">
        <v>14</v>
      </c>
      <c r="B80" s="29">
        <v>0.84816499999999995</v>
      </c>
      <c r="C80" s="29">
        <v>0.85755499999999996</v>
      </c>
      <c r="D80" s="29">
        <v>0.20180699999999999</v>
      </c>
      <c r="E80" s="29">
        <v>0.202456</v>
      </c>
      <c r="I80" s="41" t="s">
        <v>226</v>
      </c>
      <c r="J80" s="41"/>
      <c r="K80" s="41"/>
      <c r="L80" s="41"/>
    </row>
    <row r="81" spans="1:16" ht="12.75" x14ac:dyDescent="0.2">
      <c r="A81" s="21" t="s">
        <v>15</v>
      </c>
      <c r="B81" s="21"/>
      <c r="C81" s="21"/>
      <c r="D81" s="29">
        <v>0.107893</v>
      </c>
      <c r="E81" s="29">
        <v>0.104819</v>
      </c>
      <c r="I81" s="21" t="s">
        <v>209</v>
      </c>
      <c r="J81" s="21" t="s">
        <v>210</v>
      </c>
      <c r="K81" s="21" t="s">
        <v>211</v>
      </c>
      <c r="L81" s="21" t="s">
        <v>212</v>
      </c>
    </row>
    <row r="82" spans="1:16" ht="12.75" x14ac:dyDescent="0.2">
      <c r="I82" s="21">
        <v>4</v>
      </c>
      <c r="J82" s="6">
        <v>19.019649999999999</v>
      </c>
      <c r="K82" s="21">
        <f>I82*J82</f>
        <v>76.078599999999994</v>
      </c>
      <c r="L82" s="21">
        <f>(K82/86.7416)*100</f>
        <v>87.707167034041319</v>
      </c>
    </row>
    <row r="83" spans="1:16" ht="12.75" x14ac:dyDescent="0.2">
      <c r="A83" s="21" t="s">
        <v>57</v>
      </c>
      <c r="B83" s="27">
        <v>1</v>
      </c>
      <c r="C83" s="27">
        <v>2</v>
      </c>
      <c r="D83" s="27">
        <v>3</v>
      </c>
      <c r="E83" s="27">
        <v>4</v>
      </c>
      <c r="F83" s="1"/>
      <c r="G83" s="1"/>
      <c r="H83" s="1"/>
      <c r="I83" s="21">
        <v>8</v>
      </c>
      <c r="J83" s="26">
        <v>10.842700000000001</v>
      </c>
      <c r="K83" s="21">
        <f t="shared" ref="K83:K85" si="0">I83*J83</f>
        <v>86.741600000000005</v>
      </c>
      <c r="L83" s="21">
        <f t="shared" ref="L83:L85" si="1">(K83/86.7416)*100</f>
        <v>100</v>
      </c>
      <c r="M83" s="44" t="s">
        <v>213</v>
      </c>
      <c r="N83" s="44"/>
      <c r="O83" s="44"/>
      <c r="P83" s="44"/>
    </row>
    <row r="84" spans="1:16" ht="12.75" x14ac:dyDescent="0.2">
      <c r="A84" s="21" t="s">
        <v>8</v>
      </c>
      <c r="B84" s="29">
        <v>0.16745199999999999</v>
      </c>
      <c r="C84" s="29">
        <v>0.23225299999999999</v>
      </c>
      <c r="D84" s="31">
        <v>19.834099999999999</v>
      </c>
      <c r="E84" s="31">
        <v>18.205200000000001</v>
      </c>
      <c r="F84" s="6"/>
      <c r="I84" s="21">
        <v>16</v>
      </c>
      <c r="J84" s="26">
        <v>4.999765</v>
      </c>
      <c r="K84" s="21">
        <f t="shared" si="0"/>
        <v>79.99624</v>
      </c>
      <c r="L84" s="21">
        <f t="shared" si="1"/>
        <v>92.223615889031336</v>
      </c>
    </row>
    <row r="85" spans="1:16" ht="12.75" x14ac:dyDescent="0.2">
      <c r="A85" s="21" t="s">
        <v>9</v>
      </c>
      <c r="B85" s="29">
        <v>0.43576999999999999</v>
      </c>
      <c r="C85" s="29">
        <v>0.34880499999999998</v>
      </c>
      <c r="D85" s="31">
        <v>10.660500000000001</v>
      </c>
      <c r="E85" s="31">
        <v>11.024900000000001</v>
      </c>
      <c r="F85" s="6"/>
      <c r="I85" s="21">
        <v>24</v>
      </c>
      <c r="J85" s="26">
        <v>3.9052100000000003</v>
      </c>
      <c r="K85" s="21">
        <f t="shared" si="0"/>
        <v>93.725040000000007</v>
      </c>
      <c r="L85" s="21">
        <f t="shared" si="1"/>
        <v>108.05085449196234</v>
      </c>
    </row>
    <row r="86" spans="1:16" ht="12.75" x14ac:dyDescent="0.2">
      <c r="A86" s="21" t="s">
        <v>10</v>
      </c>
      <c r="B86" s="32">
        <v>1.1367400000000001</v>
      </c>
      <c r="C86" s="29">
        <v>0.98830200000000001</v>
      </c>
      <c r="D86" s="32">
        <v>4.8775899999999996</v>
      </c>
      <c r="E86" s="32">
        <v>5.1219400000000004</v>
      </c>
      <c r="F86" s="6"/>
    </row>
    <row r="87" spans="1:16" ht="12.75" x14ac:dyDescent="0.2">
      <c r="A87" s="21" t="s">
        <v>11</v>
      </c>
      <c r="B87" s="32">
        <v>2.3170899999999999</v>
      </c>
      <c r="C87" s="32">
        <v>2.6194000000000002</v>
      </c>
      <c r="D87" s="32">
        <v>4.00528</v>
      </c>
      <c r="E87" s="32">
        <v>3.8051400000000002</v>
      </c>
      <c r="F87" s="6"/>
    </row>
    <row r="88" spans="1:16" ht="12.75" x14ac:dyDescent="0.2">
      <c r="A88" s="21" t="s">
        <v>12</v>
      </c>
      <c r="B88" s="32">
        <v>6.6063900000000002</v>
      </c>
      <c r="C88" s="32">
        <v>6.2984299999999998</v>
      </c>
      <c r="D88" s="31">
        <v>12.841900000000001</v>
      </c>
      <c r="E88" s="31">
        <v>12.6408</v>
      </c>
      <c r="F88" s="6"/>
    </row>
    <row r="89" spans="1:16" ht="12.75" x14ac:dyDescent="0.2">
      <c r="A89" s="21" t="s">
        <v>13</v>
      </c>
      <c r="B89" s="31">
        <v>15.3066</v>
      </c>
      <c r="C89" s="31">
        <v>16.668800000000001</v>
      </c>
      <c r="D89" s="31">
        <v>10.809799999999999</v>
      </c>
      <c r="E89" s="31">
        <v>10.7066</v>
      </c>
      <c r="F89" s="6"/>
      <c r="I89" s="34" t="s">
        <v>227</v>
      </c>
      <c r="J89" s="34"/>
      <c r="K89" s="35"/>
    </row>
    <row r="90" spans="1:16" ht="12.75" x14ac:dyDescent="0.2">
      <c r="A90" s="21" t="s">
        <v>14</v>
      </c>
      <c r="B90" s="31">
        <v>39.770499999999998</v>
      </c>
      <c r="C90" s="31">
        <v>40.232199999999999</v>
      </c>
      <c r="D90" s="31">
        <v>10.2036</v>
      </c>
      <c r="E90" s="31">
        <v>10.232900000000001</v>
      </c>
      <c r="F90" s="6"/>
      <c r="I90" s="21"/>
      <c r="J90" s="21" t="s">
        <v>214</v>
      </c>
      <c r="K90" s="21" t="s">
        <v>215</v>
      </c>
      <c r="L90" s="21" t="s">
        <v>212</v>
      </c>
    </row>
    <row r="91" spans="1:16" ht="12.75" x14ac:dyDescent="0.2">
      <c r="A91" s="21" t="s">
        <v>15</v>
      </c>
      <c r="B91" s="21"/>
      <c r="C91" s="21"/>
      <c r="D91" s="32">
        <v>5.8666900000000002</v>
      </c>
      <c r="E91" s="32">
        <v>5.71983</v>
      </c>
      <c r="F91" s="6"/>
      <c r="I91" s="22" t="s">
        <v>222</v>
      </c>
      <c r="J91" s="22">
        <v>16.670000000000002</v>
      </c>
      <c r="K91" s="22">
        <v>12.741350000000001</v>
      </c>
      <c r="L91" s="22">
        <f>(K91/J91)*100</f>
        <v>76.432813437312532</v>
      </c>
    </row>
    <row r="92" spans="1:16" ht="12.75" x14ac:dyDescent="0.2">
      <c r="I92" s="22" t="s">
        <v>223</v>
      </c>
      <c r="J92" s="22">
        <v>13.7584</v>
      </c>
      <c r="K92" s="22">
        <v>10.758199999999999</v>
      </c>
      <c r="L92" s="22">
        <f t="shared" ref="L92:L94" si="2">(K92/J92)*100</f>
        <v>78.193685312245591</v>
      </c>
    </row>
    <row r="93" spans="1:16" ht="12.75" x14ac:dyDescent="0.2">
      <c r="A93" t="s">
        <v>16</v>
      </c>
      <c r="B93" s="1">
        <v>1</v>
      </c>
      <c r="C93" s="1">
        <v>2</v>
      </c>
      <c r="D93" s="1">
        <v>3</v>
      </c>
      <c r="E93" s="1">
        <v>4</v>
      </c>
      <c r="F93" s="1"/>
      <c r="G93" s="1"/>
      <c r="H93" s="1"/>
      <c r="I93" s="22" t="s">
        <v>224</v>
      </c>
      <c r="J93" s="22">
        <v>12.664999999999999</v>
      </c>
      <c r="K93" s="22">
        <v>10.218250000000001</v>
      </c>
      <c r="L93" s="22">
        <f t="shared" si="2"/>
        <v>80.681010659297286</v>
      </c>
    </row>
    <row r="94" spans="1:16" ht="12.75" x14ac:dyDescent="0.2">
      <c r="A94" t="s">
        <v>8</v>
      </c>
      <c r="B94" s="21" t="s">
        <v>197</v>
      </c>
      <c r="C94" s="21" t="s">
        <v>197</v>
      </c>
      <c r="D94" s="21" t="s">
        <v>199</v>
      </c>
      <c r="E94" s="21" t="s">
        <v>199</v>
      </c>
      <c r="I94" s="23" t="s">
        <v>225</v>
      </c>
      <c r="J94" s="23">
        <v>7.62</v>
      </c>
      <c r="K94" s="23">
        <v>5.7932600000000001</v>
      </c>
      <c r="L94" s="23">
        <f t="shared" si="2"/>
        <v>76.027034120734911</v>
      </c>
      <c r="M94" s="1"/>
      <c r="N94" s="1"/>
    </row>
    <row r="95" spans="1:16" ht="12.75" x14ac:dyDescent="0.2">
      <c r="A95" t="s">
        <v>9</v>
      </c>
      <c r="B95" s="21" t="s">
        <v>198</v>
      </c>
      <c r="C95" s="21" t="s">
        <v>198</v>
      </c>
      <c r="D95" s="21" t="s">
        <v>201</v>
      </c>
      <c r="E95" s="21" t="s">
        <v>201</v>
      </c>
    </row>
    <row r="96" spans="1:16" ht="12.75" x14ac:dyDescent="0.2">
      <c r="A96" t="s">
        <v>10</v>
      </c>
      <c r="B96" s="21" t="s">
        <v>200</v>
      </c>
      <c r="C96" s="21" t="s">
        <v>200</v>
      </c>
      <c r="D96" s="21" t="s">
        <v>203</v>
      </c>
      <c r="E96" s="21" t="s">
        <v>203</v>
      </c>
    </row>
    <row r="97" spans="1:21" ht="12.75" x14ac:dyDescent="0.2">
      <c r="A97" t="s">
        <v>11</v>
      </c>
      <c r="B97" s="21" t="s">
        <v>202</v>
      </c>
      <c r="C97" s="21" t="s">
        <v>202</v>
      </c>
      <c r="D97" s="21" t="s">
        <v>207</v>
      </c>
      <c r="E97" s="21" t="s">
        <v>207</v>
      </c>
    </row>
    <row r="98" spans="1:21" ht="12.75" x14ac:dyDescent="0.2">
      <c r="A98" t="s">
        <v>12</v>
      </c>
      <c r="B98" s="21" t="s">
        <v>204</v>
      </c>
      <c r="C98" s="21" t="s">
        <v>204</v>
      </c>
      <c r="D98" s="22" t="s">
        <v>218</v>
      </c>
      <c r="E98" s="22" t="s">
        <v>218</v>
      </c>
    </row>
    <row r="99" spans="1:21" ht="12.75" x14ac:dyDescent="0.2">
      <c r="A99" t="s">
        <v>13</v>
      </c>
      <c r="B99" s="21" t="s">
        <v>205</v>
      </c>
      <c r="C99" s="21" t="s">
        <v>205</v>
      </c>
      <c r="D99" s="22" t="s">
        <v>219</v>
      </c>
      <c r="E99" s="22" t="s">
        <v>219</v>
      </c>
    </row>
    <row r="100" spans="1:21" ht="12.75" x14ac:dyDescent="0.2">
      <c r="A100" t="s">
        <v>14</v>
      </c>
      <c r="B100" s="21" t="s">
        <v>206</v>
      </c>
      <c r="C100" s="21" t="s">
        <v>206</v>
      </c>
      <c r="D100" s="22" t="s">
        <v>220</v>
      </c>
      <c r="E100" s="22" t="s">
        <v>220</v>
      </c>
    </row>
    <row r="101" spans="1:21" ht="12.75" x14ac:dyDescent="0.2">
      <c r="A101" t="s">
        <v>15</v>
      </c>
      <c r="B101" s="21" t="s">
        <v>38</v>
      </c>
      <c r="C101" s="21" t="s">
        <v>38</v>
      </c>
      <c r="D101" s="23" t="s">
        <v>221</v>
      </c>
      <c r="E101" s="23" t="s">
        <v>216</v>
      </c>
      <c r="I101" s="40" t="s">
        <v>228</v>
      </c>
      <c r="J101" s="40"/>
      <c r="K101" s="40"/>
      <c r="L101" s="39" t="s">
        <v>234</v>
      </c>
      <c r="M101" s="39"/>
      <c r="N101" s="39"/>
      <c r="O101" s="39"/>
      <c r="P101" s="39"/>
      <c r="Q101" s="39"/>
      <c r="U101">
        <f>AVERAGE(L91:L94)</f>
        <v>77.833635882397587</v>
      </c>
    </row>
    <row r="102" spans="1:21" ht="38.25" customHeight="1" x14ac:dyDescent="0.2">
      <c r="I102" s="36"/>
      <c r="J102" s="37" t="s">
        <v>229</v>
      </c>
      <c r="K102" s="37" t="s">
        <v>233</v>
      </c>
      <c r="L102" s="38"/>
      <c r="M102" s="38"/>
      <c r="N102" s="38"/>
      <c r="O102" s="38"/>
      <c r="P102" s="38"/>
      <c r="Q102" s="38"/>
    </row>
    <row r="103" spans="1:21" ht="12.75" x14ac:dyDescent="0.2">
      <c r="A103" t="s">
        <v>78</v>
      </c>
      <c r="I103" s="22" t="s">
        <v>230</v>
      </c>
      <c r="J103" s="22">
        <v>360</v>
      </c>
      <c r="K103" s="22">
        <v>90</v>
      </c>
    </row>
    <row r="104" spans="1:21" ht="15" customHeight="1" x14ac:dyDescent="0.2">
      <c r="I104" s="22" t="s">
        <v>231</v>
      </c>
      <c r="J104" s="22">
        <v>355</v>
      </c>
      <c r="K104" s="22">
        <v>45</v>
      </c>
    </row>
    <row r="105" spans="1:21" ht="15" customHeight="1" x14ac:dyDescent="0.2">
      <c r="D105" s="24"/>
      <c r="E105" s="42" t="s">
        <v>217</v>
      </c>
      <c r="F105" s="42"/>
      <c r="G105" s="42"/>
      <c r="I105" s="22" t="s">
        <v>216</v>
      </c>
      <c r="J105" s="22">
        <v>283.125</v>
      </c>
      <c r="K105" s="22">
        <v>16.875</v>
      </c>
    </row>
    <row r="106" spans="1:21" ht="15" customHeight="1" x14ac:dyDescent="0.2">
      <c r="D106" s="25"/>
      <c r="E106" s="43" t="s">
        <v>208</v>
      </c>
      <c r="F106" s="43"/>
      <c r="G106" s="43"/>
      <c r="I106" s="23" t="s">
        <v>232</v>
      </c>
      <c r="J106" s="23">
        <v>222</v>
      </c>
      <c r="K106" s="23">
        <v>18</v>
      </c>
    </row>
  </sheetData>
  <mergeCells count="5">
    <mergeCell ref="I101:K101"/>
    <mergeCell ref="I80:L80"/>
    <mergeCell ref="E105:G105"/>
    <mergeCell ref="E106:G106"/>
    <mergeCell ref="M83:P8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General information"/>
  <dimension ref="A1:E5"/>
  <sheetViews>
    <sheetView workbookViewId="0"/>
  </sheetViews>
  <sheetFormatPr defaultColWidth="9.140625" defaultRowHeight="15" customHeight="1" x14ac:dyDescent="0.2"/>
  <sheetData>
    <row r="1" spans="1:5" ht="15" customHeight="1" x14ac:dyDescent="0.2">
      <c r="A1" t="s">
        <v>84</v>
      </c>
    </row>
    <row r="3" spans="1:5" ht="15" customHeight="1" x14ac:dyDescent="0.2">
      <c r="B3" t="s">
        <v>85</v>
      </c>
      <c r="E3" t="s">
        <v>86</v>
      </c>
    </row>
    <row r="4" spans="1:5" ht="15" customHeight="1" x14ac:dyDescent="0.2">
      <c r="B4" t="s">
        <v>87</v>
      </c>
      <c r="E4" t="s">
        <v>88</v>
      </c>
    </row>
    <row r="5" spans="1:5" ht="15" customHeight="1" x14ac:dyDescent="0.2">
      <c r="A5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ession information"/>
  <dimension ref="A1:E7"/>
  <sheetViews>
    <sheetView workbookViewId="0"/>
  </sheetViews>
  <sheetFormatPr defaultColWidth="9.140625" defaultRowHeight="15" customHeight="1" x14ac:dyDescent="0.2"/>
  <cols>
    <col min="1" max="1" width="19.28515625" customWidth="1"/>
    <col min="2" max="2" width="14.85546875" customWidth="1"/>
    <col min="4" max="4" width="2" customWidth="1"/>
    <col min="5" max="5" width="51" customWidth="1"/>
  </cols>
  <sheetData>
    <row r="1" spans="1:5" ht="15" customHeight="1" x14ac:dyDescent="0.2">
      <c r="A1" t="s">
        <v>89</v>
      </c>
    </row>
    <row r="3" spans="1:5" ht="15" customHeight="1" x14ac:dyDescent="0.2">
      <c r="B3" t="s">
        <v>90</v>
      </c>
      <c r="E3" t="s">
        <v>1</v>
      </c>
    </row>
    <row r="4" spans="1:5" ht="15" customHeight="1" x14ac:dyDescent="0.2">
      <c r="B4" t="s">
        <v>91</v>
      </c>
      <c r="E4" t="s">
        <v>92</v>
      </c>
    </row>
    <row r="5" spans="1:5" ht="15" customHeight="1" x14ac:dyDescent="0.2">
      <c r="B5" t="s">
        <v>93</v>
      </c>
      <c r="E5" t="s">
        <v>94</v>
      </c>
    </row>
    <row r="6" spans="1:5" ht="15" customHeight="1" x14ac:dyDescent="0.2">
      <c r="B6" t="s">
        <v>95</v>
      </c>
      <c r="E6" t="s">
        <v>2</v>
      </c>
    </row>
    <row r="7" spans="1:5" ht="15" customHeight="1" x14ac:dyDescent="0.2">
      <c r="A7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Instrument information"/>
  <dimension ref="A1:E94"/>
  <sheetViews>
    <sheetView workbookViewId="0"/>
  </sheetViews>
  <sheetFormatPr defaultColWidth="9.140625" defaultRowHeight="15" customHeight="1" x14ac:dyDescent="0.2"/>
  <cols>
    <col min="1" max="1" width="21.5703125" customWidth="1"/>
    <col min="2" max="2" width="19.28515625" customWidth="1"/>
    <col min="3" max="3" width="29" customWidth="1"/>
    <col min="4" max="4" width="2" customWidth="1"/>
    <col min="5" max="5" width="23.7109375" customWidth="1"/>
  </cols>
  <sheetData>
    <row r="1" spans="1:5" ht="15" customHeight="1" x14ac:dyDescent="0.2">
      <c r="A1" t="s">
        <v>96</v>
      </c>
    </row>
    <row r="3" spans="1:5" ht="15" customHeight="1" x14ac:dyDescent="0.2">
      <c r="B3" t="s">
        <v>97</v>
      </c>
      <c r="E3" t="s">
        <v>98</v>
      </c>
    </row>
    <row r="4" spans="1:5" ht="15" customHeight="1" x14ac:dyDescent="0.2">
      <c r="B4" t="s">
        <v>99</v>
      </c>
      <c r="E4" t="s">
        <v>100</v>
      </c>
    </row>
    <row r="5" spans="1:5" ht="15" customHeight="1" x14ac:dyDescent="0.2">
      <c r="B5" t="s">
        <v>101</v>
      </c>
      <c r="E5" t="s">
        <v>102</v>
      </c>
    </row>
    <row r="6" spans="1:5" ht="15" customHeight="1" x14ac:dyDescent="0.2">
      <c r="B6" t="s">
        <v>103</v>
      </c>
      <c r="E6" t="s">
        <v>104</v>
      </c>
    </row>
    <row r="8" spans="1:5" ht="15" customHeight="1" x14ac:dyDescent="0.2">
      <c r="B8" t="s">
        <v>105</v>
      </c>
    </row>
    <row r="10" spans="1:5" ht="15" customHeight="1" x14ac:dyDescent="0.2">
      <c r="B10" t="s">
        <v>106</v>
      </c>
    </row>
    <row r="11" spans="1:5" ht="15" customHeight="1" x14ac:dyDescent="0.2">
      <c r="C11" t="s">
        <v>107</v>
      </c>
      <c r="E11" t="s">
        <v>108</v>
      </c>
    </row>
    <row r="12" spans="1:5" ht="15" customHeight="1" x14ac:dyDescent="0.2">
      <c r="C12" t="s">
        <v>97</v>
      </c>
      <c r="E12" t="s">
        <v>109</v>
      </c>
    </row>
    <row r="13" spans="1:5" ht="15" customHeight="1" x14ac:dyDescent="0.2">
      <c r="C13" t="s">
        <v>110</v>
      </c>
      <c r="E13" t="s">
        <v>111</v>
      </c>
    </row>
    <row r="14" spans="1:5" ht="15" customHeight="1" x14ac:dyDescent="0.2">
      <c r="C14" t="s">
        <v>112</v>
      </c>
      <c r="E14" t="s">
        <v>113</v>
      </c>
    </row>
    <row r="15" spans="1:5" ht="15" customHeight="1" x14ac:dyDescent="0.2">
      <c r="C15" t="s">
        <v>114</v>
      </c>
      <c r="E15" t="s">
        <v>115</v>
      </c>
    </row>
    <row r="16" spans="1:5" ht="15" customHeight="1" x14ac:dyDescent="0.2">
      <c r="C16" t="s">
        <v>116</v>
      </c>
      <c r="E16" t="s">
        <v>117</v>
      </c>
    </row>
    <row r="18" spans="2:5" ht="15" customHeight="1" x14ac:dyDescent="0.2">
      <c r="B18" t="s">
        <v>106</v>
      </c>
    </row>
    <row r="19" spans="2:5" ht="15" customHeight="1" x14ac:dyDescent="0.2">
      <c r="C19" t="s">
        <v>107</v>
      </c>
      <c r="E19" t="s">
        <v>118</v>
      </c>
    </row>
    <row r="20" spans="2:5" ht="15" customHeight="1" x14ac:dyDescent="0.2">
      <c r="C20" t="s">
        <v>97</v>
      </c>
      <c r="E20" t="s">
        <v>119</v>
      </c>
    </row>
    <row r="21" spans="2:5" ht="15" customHeight="1" x14ac:dyDescent="0.2">
      <c r="C21" t="s">
        <v>110</v>
      </c>
      <c r="E21" t="s">
        <v>120</v>
      </c>
    </row>
    <row r="22" spans="2:5" ht="15" customHeight="1" x14ac:dyDescent="0.2">
      <c r="C22" t="s">
        <v>112</v>
      </c>
      <c r="E22" t="s">
        <v>121</v>
      </c>
    </row>
    <row r="23" spans="2:5" ht="15" customHeight="1" x14ac:dyDescent="0.2">
      <c r="C23" t="s">
        <v>114</v>
      </c>
      <c r="E23" t="s">
        <v>115</v>
      </c>
    </row>
    <row r="24" spans="2:5" ht="15" customHeight="1" x14ac:dyDescent="0.2">
      <c r="C24" t="s">
        <v>116</v>
      </c>
      <c r="E24" t="s">
        <v>117</v>
      </c>
    </row>
    <row r="26" spans="2:5" ht="15" customHeight="1" x14ac:dyDescent="0.2">
      <c r="B26" t="s">
        <v>106</v>
      </c>
    </row>
    <row r="27" spans="2:5" ht="15" customHeight="1" x14ac:dyDescent="0.2">
      <c r="C27" t="s">
        <v>107</v>
      </c>
      <c r="E27" t="s">
        <v>122</v>
      </c>
    </row>
    <row r="28" spans="2:5" ht="15" customHeight="1" x14ac:dyDescent="0.2">
      <c r="C28" t="s">
        <v>97</v>
      </c>
      <c r="E28" t="s">
        <v>123</v>
      </c>
    </row>
    <row r="29" spans="2:5" ht="15" customHeight="1" x14ac:dyDescent="0.2">
      <c r="C29" t="s">
        <v>110</v>
      </c>
      <c r="E29" t="s">
        <v>124</v>
      </c>
    </row>
    <row r="30" spans="2:5" ht="15" customHeight="1" x14ac:dyDescent="0.2">
      <c r="C30" t="s">
        <v>112</v>
      </c>
      <c r="E30" t="s">
        <v>121</v>
      </c>
    </row>
    <row r="31" spans="2:5" ht="15" customHeight="1" x14ac:dyDescent="0.2">
      <c r="C31" t="s">
        <v>114</v>
      </c>
      <c r="E31" t="s">
        <v>115</v>
      </c>
    </row>
    <row r="32" spans="2:5" ht="15" customHeight="1" x14ac:dyDescent="0.2">
      <c r="C32" t="s">
        <v>116</v>
      </c>
      <c r="E32" t="s">
        <v>117</v>
      </c>
    </row>
    <row r="34" spans="2:5" ht="15" customHeight="1" x14ac:dyDescent="0.2">
      <c r="B34" t="s">
        <v>125</v>
      </c>
    </row>
    <row r="35" spans="2:5" ht="15" customHeight="1" x14ac:dyDescent="0.2">
      <c r="C35" t="s">
        <v>126</v>
      </c>
      <c r="E35" t="s">
        <v>127</v>
      </c>
    </row>
    <row r="36" spans="2:5" ht="15" customHeight="1" x14ac:dyDescent="0.2">
      <c r="C36" t="s">
        <v>97</v>
      </c>
      <c r="E36" t="s">
        <v>128</v>
      </c>
    </row>
    <row r="37" spans="2:5" ht="15" customHeight="1" x14ac:dyDescent="0.2">
      <c r="C37" t="s">
        <v>129</v>
      </c>
      <c r="E37" t="s">
        <v>130</v>
      </c>
    </row>
    <row r="38" spans="2:5" ht="15" customHeight="1" x14ac:dyDescent="0.2">
      <c r="C38" t="s">
        <v>112</v>
      </c>
      <c r="E38" t="s">
        <v>131</v>
      </c>
    </row>
    <row r="39" spans="2:5" ht="12.75" x14ac:dyDescent="0.2">
      <c r="C39" t="s">
        <v>114</v>
      </c>
      <c r="E39" t="s">
        <v>115</v>
      </c>
    </row>
    <row r="40" spans="2:5" ht="12.75" x14ac:dyDescent="0.2">
      <c r="C40" t="s">
        <v>116</v>
      </c>
      <c r="E40" t="s">
        <v>117</v>
      </c>
    </row>
    <row r="41" spans="2:5" ht="12.75" x14ac:dyDescent="0.2"/>
    <row r="42" spans="2:5" ht="12.75" x14ac:dyDescent="0.2">
      <c r="B42" t="s">
        <v>125</v>
      </c>
    </row>
    <row r="43" spans="2:5" ht="12.75" x14ac:dyDescent="0.2">
      <c r="C43" t="s">
        <v>126</v>
      </c>
      <c r="E43" t="s">
        <v>132</v>
      </c>
    </row>
    <row r="44" spans="2:5" ht="12.75" x14ac:dyDescent="0.2">
      <c r="C44" t="s">
        <v>97</v>
      </c>
      <c r="E44" t="s">
        <v>133</v>
      </c>
    </row>
    <row r="45" spans="2:5" ht="12.75" x14ac:dyDescent="0.2">
      <c r="C45" t="s">
        <v>129</v>
      </c>
      <c r="E45" t="s">
        <v>134</v>
      </c>
    </row>
    <row r="46" spans="2:5" ht="12.75" x14ac:dyDescent="0.2">
      <c r="C46" t="s">
        <v>112</v>
      </c>
      <c r="E46" t="s">
        <v>121</v>
      </c>
    </row>
    <row r="47" spans="2:5" ht="12.75" x14ac:dyDescent="0.2">
      <c r="C47" t="s">
        <v>114</v>
      </c>
      <c r="E47" t="s">
        <v>115</v>
      </c>
    </row>
    <row r="48" spans="2:5" ht="12.75" x14ac:dyDescent="0.2">
      <c r="C48" t="s">
        <v>116</v>
      </c>
      <c r="E48" t="s">
        <v>117</v>
      </c>
    </row>
    <row r="49" spans="2:5" ht="12.75" x14ac:dyDescent="0.2"/>
    <row r="50" spans="2:5" ht="12.75" x14ac:dyDescent="0.2">
      <c r="B50" t="s">
        <v>125</v>
      </c>
    </row>
    <row r="51" spans="2:5" ht="12.75" x14ac:dyDescent="0.2">
      <c r="C51" t="s">
        <v>126</v>
      </c>
      <c r="E51" t="s">
        <v>135</v>
      </c>
    </row>
    <row r="52" spans="2:5" ht="12.75" x14ac:dyDescent="0.2">
      <c r="C52" t="s">
        <v>97</v>
      </c>
      <c r="E52" t="s">
        <v>136</v>
      </c>
    </row>
    <row r="53" spans="2:5" ht="12.75" x14ac:dyDescent="0.2">
      <c r="C53" t="s">
        <v>129</v>
      </c>
      <c r="E53" t="s">
        <v>137</v>
      </c>
    </row>
    <row r="54" spans="2:5" ht="12.75" x14ac:dyDescent="0.2">
      <c r="C54" t="s">
        <v>112</v>
      </c>
      <c r="E54" t="s">
        <v>138</v>
      </c>
    </row>
    <row r="55" spans="2:5" ht="12.75" x14ac:dyDescent="0.2">
      <c r="C55" t="s">
        <v>114</v>
      </c>
      <c r="E55" t="s">
        <v>115</v>
      </c>
    </row>
    <row r="56" spans="2:5" ht="12.75" x14ac:dyDescent="0.2">
      <c r="C56" t="s">
        <v>116</v>
      </c>
      <c r="E56" t="s">
        <v>117</v>
      </c>
    </row>
    <row r="57" spans="2:5" ht="12.75" x14ac:dyDescent="0.2"/>
    <row r="58" spans="2:5" ht="12.75" x14ac:dyDescent="0.2">
      <c r="B58" t="s">
        <v>139</v>
      </c>
    </row>
    <row r="59" spans="2:5" ht="12.75" x14ac:dyDescent="0.2">
      <c r="C59" t="s">
        <v>97</v>
      </c>
      <c r="E59" t="s">
        <v>140</v>
      </c>
    </row>
    <row r="60" spans="2:5" ht="12.75" x14ac:dyDescent="0.2">
      <c r="C60" t="s">
        <v>107</v>
      </c>
      <c r="E60" t="s">
        <v>108</v>
      </c>
    </row>
    <row r="61" spans="2:5" ht="12.75" x14ac:dyDescent="0.2">
      <c r="C61" t="s">
        <v>97</v>
      </c>
      <c r="E61" t="s">
        <v>109</v>
      </c>
    </row>
    <row r="62" spans="2:5" ht="12.75" x14ac:dyDescent="0.2">
      <c r="C62" t="s">
        <v>110</v>
      </c>
      <c r="E62" t="s">
        <v>111</v>
      </c>
    </row>
    <row r="63" spans="2:5" ht="12.75" x14ac:dyDescent="0.2">
      <c r="C63" t="s">
        <v>126</v>
      </c>
      <c r="E63" t="s">
        <v>127</v>
      </c>
    </row>
    <row r="64" spans="2:5" ht="12.75" x14ac:dyDescent="0.2">
      <c r="C64" t="s">
        <v>97</v>
      </c>
      <c r="E64" t="s">
        <v>128</v>
      </c>
    </row>
    <row r="65" spans="2:5" ht="12.75" x14ac:dyDescent="0.2">
      <c r="C65" t="s">
        <v>129</v>
      </c>
      <c r="E65" t="s">
        <v>130</v>
      </c>
    </row>
    <row r="66" spans="2:5" ht="12.75" x14ac:dyDescent="0.2">
      <c r="C66" t="s">
        <v>114</v>
      </c>
      <c r="E66" t="s">
        <v>115</v>
      </c>
    </row>
    <row r="67" spans="2:5" ht="12.75" x14ac:dyDescent="0.2">
      <c r="C67" t="s">
        <v>141</v>
      </c>
      <c r="E67" t="s">
        <v>142</v>
      </c>
    </row>
    <row r="68" spans="2:5" ht="12.75" x14ac:dyDescent="0.2"/>
    <row r="69" spans="2:5" ht="12.75" x14ac:dyDescent="0.2">
      <c r="B69" t="s">
        <v>139</v>
      </c>
    </row>
    <row r="70" spans="2:5" ht="12.75" x14ac:dyDescent="0.2">
      <c r="C70" t="s">
        <v>97</v>
      </c>
      <c r="E70" t="s">
        <v>143</v>
      </c>
    </row>
    <row r="71" spans="2:5" ht="12.75" x14ac:dyDescent="0.2">
      <c r="C71" t="s">
        <v>107</v>
      </c>
      <c r="E71" t="s">
        <v>118</v>
      </c>
    </row>
    <row r="72" spans="2:5" ht="12.75" x14ac:dyDescent="0.2">
      <c r="C72" t="s">
        <v>97</v>
      </c>
      <c r="E72" t="s">
        <v>119</v>
      </c>
    </row>
    <row r="73" spans="2:5" ht="12.75" x14ac:dyDescent="0.2">
      <c r="C73" t="s">
        <v>110</v>
      </c>
      <c r="E73" t="s">
        <v>120</v>
      </c>
    </row>
    <row r="74" spans="2:5" ht="12.75" x14ac:dyDescent="0.2">
      <c r="C74" t="s">
        <v>126</v>
      </c>
      <c r="E74" t="s">
        <v>132</v>
      </c>
    </row>
    <row r="75" spans="2:5" ht="12.75" x14ac:dyDescent="0.2">
      <c r="C75" t="s">
        <v>97</v>
      </c>
      <c r="E75" t="s">
        <v>133</v>
      </c>
    </row>
    <row r="76" spans="2:5" ht="12.75" x14ac:dyDescent="0.2">
      <c r="C76" t="s">
        <v>129</v>
      </c>
      <c r="E76" t="s">
        <v>134</v>
      </c>
    </row>
    <row r="77" spans="2:5" ht="12.75" x14ac:dyDescent="0.2">
      <c r="C77" t="s">
        <v>114</v>
      </c>
      <c r="E77" t="s">
        <v>115</v>
      </c>
    </row>
    <row r="78" spans="2:5" ht="12.75" x14ac:dyDescent="0.2">
      <c r="C78" t="s">
        <v>141</v>
      </c>
      <c r="E78" t="s">
        <v>142</v>
      </c>
    </row>
    <row r="79" spans="2:5" ht="12.75" x14ac:dyDescent="0.2"/>
    <row r="80" spans="2:5" ht="12.75" x14ac:dyDescent="0.2">
      <c r="B80" t="s">
        <v>139</v>
      </c>
    </row>
    <row r="81" spans="3:5" ht="12.75" x14ac:dyDescent="0.2">
      <c r="C81" t="s">
        <v>97</v>
      </c>
      <c r="E81" t="s">
        <v>144</v>
      </c>
    </row>
    <row r="82" spans="3:5" ht="12.75" x14ac:dyDescent="0.2">
      <c r="C82" t="s">
        <v>107</v>
      </c>
      <c r="E82" t="s">
        <v>122</v>
      </c>
    </row>
    <row r="83" spans="3:5" ht="12.75" x14ac:dyDescent="0.2">
      <c r="C83" t="s">
        <v>97</v>
      </c>
      <c r="E83" t="s">
        <v>123</v>
      </c>
    </row>
    <row r="84" spans="3:5" ht="12.75" x14ac:dyDescent="0.2">
      <c r="C84" t="s">
        <v>110</v>
      </c>
      <c r="E84" t="s">
        <v>124</v>
      </c>
    </row>
    <row r="85" spans="3:5" ht="12.75" x14ac:dyDescent="0.2">
      <c r="C85" t="s">
        <v>126</v>
      </c>
      <c r="E85" t="s">
        <v>135</v>
      </c>
    </row>
    <row r="86" spans="3:5" ht="12.75" x14ac:dyDescent="0.2">
      <c r="C86" t="s">
        <v>97</v>
      </c>
      <c r="E86" t="s">
        <v>136</v>
      </c>
    </row>
    <row r="87" spans="3:5" ht="12.75" x14ac:dyDescent="0.2">
      <c r="C87" t="s">
        <v>129</v>
      </c>
      <c r="E87" t="s">
        <v>137</v>
      </c>
    </row>
    <row r="88" spans="3:5" ht="12.75" x14ac:dyDescent="0.2">
      <c r="C88" t="s">
        <v>114</v>
      </c>
      <c r="E88" t="s">
        <v>115</v>
      </c>
    </row>
    <row r="89" spans="3:5" ht="12.75" x14ac:dyDescent="0.2">
      <c r="C89" t="s">
        <v>141</v>
      </c>
      <c r="E89" t="s">
        <v>142</v>
      </c>
    </row>
    <row r="90" spans="3:5" ht="12.75" x14ac:dyDescent="0.2"/>
    <row r="91" spans="3:5" ht="12.75" x14ac:dyDescent="0.2">
      <c r="C91" t="s">
        <v>145</v>
      </c>
      <c r="E91" t="s">
        <v>115</v>
      </c>
    </row>
    <row r="92" spans="3:5" ht="12.75" x14ac:dyDescent="0.2">
      <c r="C92" t="s">
        <v>146</v>
      </c>
      <c r="E92" t="s">
        <v>147</v>
      </c>
    </row>
    <row r="93" spans="3:5" ht="12.75" x14ac:dyDescent="0.2">
      <c r="C93" t="s">
        <v>148</v>
      </c>
      <c r="E93" t="s">
        <v>115</v>
      </c>
    </row>
    <row r="94" spans="3:5" ht="12.75" x14ac:dyDescent="0.2">
      <c r="C94" t="s">
        <v>149</v>
      </c>
      <c r="E94" t="s">
        <v>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rotocol parameters"/>
  <dimension ref="A1:E19"/>
  <sheetViews>
    <sheetView workbookViewId="0"/>
  </sheetViews>
  <sheetFormatPr defaultColWidth="9.140625" defaultRowHeight="15" customHeight="1" x14ac:dyDescent="0.2"/>
  <cols>
    <col min="1" max="1" width="19.7109375" customWidth="1"/>
    <col min="2" max="2" width="29.140625" customWidth="1"/>
    <col min="4" max="4" width="2" customWidth="1"/>
    <col min="5" max="5" width="12" customWidth="1"/>
  </cols>
  <sheetData>
    <row r="1" spans="1:5" ht="15" customHeight="1" x14ac:dyDescent="0.2">
      <c r="A1" t="s">
        <v>150</v>
      </c>
    </row>
    <row r="3" spans="1:5" ht="15" customHeight="1" x14ac:dyDescent="0.2">
      <c r="B3" t="s">
        <v>151</v>
      </c>
      <c r="E3" t="s">
        <v>152</v>
      </c>
    </row>
    <row r="4" spans="1:5" ht="15" customHeight="1" x14ac:dyDescent="0.2">
      <c r="B4" t="s">
        <v>153</v>
      </c>
      <c r="E4" t="s">
        <v>147</v>
      </c>
    </row>
    <row r="5" spans="1:5" ht="15" customHeight="1" x14ac:dyDescent="0.2">
      <c r="B5" t="s">
        <v>154</v>
      </c>
      <c r="E5" t="s">
        <v>147</v>
      </c>
    </row>
    <row r="7" spans="1:5" ht="15" customHeight="1" x14ac:dyDescent="0.2">
      <c r="A7" t="s">
        <v>155</v>
      </c>
    </row>
    <row r="9" spans="1:5" ht="15" customHeight="1" x14ac:dyDescent="0.2">
      <c r="B9" t="s">
        <v>156</v>
      </c>
      <c r="E9" t="s">
        <v>157</v>
      </c>
    </row>
    <row r="10" spans="1:5" ht="15" customHeight="1" x14ac:dyDescent="0.2">
      <c r="B10" t="s">
        <v>158</v>
      </c>
      <c r="E10" t="s">
        <v>159</v>
      </c>
    </row>
    <row r="11" spans="1:5" ht="15" customHeight="1" x14ac:dyDescent="0.2">
      <c r="B11" t="s">
        <v>160</v>
      </c>
      <c r="E11" t="s">
        <v>161</v>
      </c>
    </row>
    <row r="12" spans="1:5" ht="15" customHeight="1" x14ac:dyDescent="0.2">
      <c r="B12" t="s">
        <v>162</v>
      </c>
      <c r="E12" t="s">
        <v>163</v>
      </c>
    </row>
    <row r="14" spans="1:5" ht="15" customHeight="1" x14ac:dyDescent="0.2">
      <c r="A14" t="s">
        <v>4</v>
      </c>
    </row>
    <row r="16" spans="1:5" ht="15" customHeight="1" x14ac:dyDescent="0.2">
      <c r="B16" t="s">
        <v>164</v>
      </c>
      <c r="E16" t="s">
        <v>130</v>
      </c>
    </row>
    <row r="17" spans="2:5" ht="15" customHeight="1" x14ac:dyDescent="0.2">
      <c r="B17" t="s">
        <v>165</v>
      </c>
      <c r="E17" t="s">
        <v>147</v>
      </c>
    </row>
    <row r="18" spans="2:5" ht="15" customHeight="1" x14ac:dyDescent="0.2">
      <c r="B18" t="s">
        <v>166</v>
      </c>
      <c r="E18" t="s">
        <v>167</v>
      </c>
    </row>
    <row r="19" spans="2:5" ht="15" customHeight="1" x14ac:dyDescent="0.2">
      <c r="B19" t="s">
        <v>168</v>
      </c>
      <c r="E19" t="s">
        <v>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Run log"/>
  <dimension ref="A1:E13"/>
  <sheetViews>
    <sheetView workbookViewId="0"/>
  </sheetViews>
  <sheetFormatPr defaultColWidth="9.140625" defaultRowHeight="15" customHeight="1" x14ac:dyDescent="0.2"/>
  <cols>
    <col min="1" max="1" width="8.7109375" customWidth="1"/>
    <col min="2" max="2" width="26.42578125" customWidth="1"/>
    <col min="3" max="3" width="59" customWidth="1"/>
    <col min="4" max="4" width="11.85546875" customWidth="1"/>
  </cols>
  <sheetData>
    <row r="1" spans="1:5" ht="15" customHeight="1" x14ac:dyDescent="0.2">
      <c r="A1" t="s">
        <v>169</v>
      </c>
    </row>
    <row r="3" spans="1:5" ht="15" customHeight="1" x14ac:dyDescent="0.2">
      <c r="B3" s="10" t="s">
        <v>170</v>
      </c>
      <c r="C3" s="10" t="s">
        <v>171</v>
      </c>
      <c r="D3" s="10" t="s">
        <v>172</v>
      </c>
      <c r="E3" s="10"/>
    </row>
    <row r="4" spans="1:5" ht="15" customHeight="1" x14ac:dyDescent="0.2">
      <c r="B4" t="s">
        <v>2</v>
      </c>
      <c r="C4" t="s">
        <v>173</v>
      </c>
    </row>
    <row r="5" spans="1:5" ht="15" customHeight="1" x14ac:dyDescent="0.2">
      <c r="B5" t="s">
        <v>174</v>
      </c>
      <c r="C5" t="s">
        <v>175</v>
      </c>
      <c r="D5" t="s">
        <v>176</v>
      </c>
    </row>
    <row r="6" spans="1:5" ht="15" customHeight="1" x14ac:dyDescent="0.2">
      <c r="B6" t="s">
        <v>174</v>
      </c>
      <c r="C6" t="s">
        <v>177</v>
      </c>
    </row>
    <row r="7" spans="1:5" ht="15" customHeight="1" x14ac:dyDescent="0.2">
      <c r="B7" t="s">
        <v>178</v>
      </c>
      <c r="C7" t="s">
        <v>175</v>
      </c>
      <c r="D7" t="s">
        <v>176</v>
      </c>
    </row>
    <row r="8" spans="1:5" ht="15" customHeight="1" x14ac:dyDescent="0.2">
      <c r="B8" t="s">
        <v>179</v>
      </c>
      <c r="C8" t="s">
        <v>180</v>
      </c>
    </row>
    <row r="9" spans="1:5" ht="15" customHeight="1" x14ac:dyDescent="0.2">
      <c r="B9" t="s">
        <v>179</v>
      </c>
      <c r="C9" t="s">
        <v>181</v>
      </c>
    </row>
    <row r="10" spans="1:5" ht="15" customHeight="1" x14ac:dyDescent="0.2">
      <c r="B10" t="s">
        <v>182</v>
      </c>
      <c r="C10" t="s">
        <v>183</v>
      </c>
    </row>
    <row r="11" spans="1:5" ht="15" customHeight="1" x14ac:dyDescent="0.2">
      <c r="B11" t="s">
        <v>182</v>
      </c>
      <c r="C11" t="s">
        <v>175</v>
      </c>
      <c r="D11" t="s">
        <v>176</v>
      </c>
    </row>
    <row r="12" spans="1:5" ht="15" customHeight="1" x14ac:dyDescent="0.2">
      <c r="B12" t="s">
        <v>184</v>
      </c>
      <c r="C12" t="s">
        <v>185</v>
      </c>
    </row>
    <row r="13" spans="1:5" ht="15" customHeight="1" x14ac:dyDescent="0.2">
      <c r="A13" t="s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Layout definitions"/>
  <dimension ref="A1:M33"/>
  <sheetViews>
    <sheetView workbookViewId="0"/>
  </sheetViews>
  <sheetFormatPr defaultColWidth="9.140625" defaultRowHeight="15" customHeight="1" x14ac:dyDescent="0.2"/>
  <sheetData>
    <row r="1" spans="1:13" ht="15" customHeight="1" x14ac:dyDescent="0.2">
      <c r="A1" t="s">
        <v>97</v>
      </c>
      <c r="B1" t="s">
        <v>6</v>
      </c>
    </row>
    <row r="2" spans="1:13" ht="15" customHeight="1" x14ac:dyDescent="0.2">
      <c r="A2" t="s">
        <v>186</v>
      </c>
      <c r="B2" t="s">
        <v>187</v>
      </c>
    </row>
    <row r="4" spans="1:13" ht="15" customHeight="1" x14ac:dyDescent="0.2">
      <c r="B4" s="11">
        <v>1</v>
      </c>
      <c r="C4" s="11">
        <v>2</v>
      </c>
      <c r="D4" s="11">
        <v>3</v>
      </c>
      <c r="E4" s="11">
        <v>4</v>
      </c>
      <c r="F4" s="11">
        <v>5</v>
      </c>
      <c r="G4" s="11">
        <v>6</v>
      </c>
      <c r="H4" s="11">
        <v>7</v>
      </c>
      <c r="I4" s="11">
        <v>8</v>
      </c>
      <c r="J4" s="11">
        <v>9</v>
      </c>
      <c r="K4" s="11">
        <v>10</v>
      </c>
      <c r="L4" s="11">
        <v>11</v>
      </c>
      <c r="M4" s="11">
        <v>12</v>
      </c>
    </row>
    <row r="5" spans="1:13" ht="15" customHeight="1" x14ac:dyDescent="0.2">
      <c r="A5" s="46" t="s">
        <v>8</v>
      </c>
      <c r="B5" s="12" t="s">
        <v>17</v>
      </c>
      <c r="C5" s="12" t="s">
        <v>17</v>
      </c>
      <c r="D5" s="13" t="s">
        <v>18</v>
      </c>
      <c r="E5" s="13" t="s">
        <v>19</v>
      </c>
      <c r="F5" s="47"/>
      <c r="G5" s="47"/>
      <c r="H5" s="47"/>
      <c r="I5" s="47"/>
      <c r="J5" s="47"/>
      <c r="K5" s="47"/>
      <c r="L5" s="47"/>
      <c r="M5" s="47"/>
    </row>
    <row r="6" spans="1:13" ht="15" customHeight="1" x14ac:dyDescent="0.2">
      <c r="A6" s="47"/>
      <c r="B6" s="14" t="s">
        <v>188</v>
      </c>
      <c r="C6" s="14" t="s">
        <v>188</v>
      </c>
      <c r="D6" s="15" t="s">
        <v>188</v>
      </c>
      <c r="E6" s="15" t="s">
        <v>188</v>
      </c>
      <c r="F6" s="47"/>
      <c r="G6" s="47"/>
      <c r="H6" s="47"/>
      <c r="I6" s="47"/>
      <c r="J6" s="47"/>
      <c r="K6" s="47"/>
      <c r="L6" s="47"/>
      <c r="M6" s="47"/>
    </row>
    <row r="7" spans="1:13" ht="15" customHeight="1" x14ac:dyDescent="0.2">
      <c r="A7" s="47"/>
      <c r="B7" s="16" t="s">
        <v>189</v>
      </c>
      <c r="C7" s="16" t="s">
        <v>189</v>
      </c>
      <c r="D7" s="17" t="s">
        <v>190</v>
      </c>
      <c r="E7" s="17" t="s">
        <v>190</v>
      </c>
      <c r="F7" s="47"/>
      <c r="G7" s="47"/>
      <c r="H7" s="47"/>
      <c r="I7" s="47"/>
      <c r="J7" s="47"/>
      <c r="K7" s="47"/>
      <c r="L7" s="47"/>
      <c r="M7" s="47"/>
    </row>
    <row r="8" spans="1:13" ht="15" customHeight="1" x14ac:dyDescent="0.2">
      <c r="A8" s="46" t="s">
        <v>9</v>
      </c>
      <c r="B8" s="12" t="s">
        <v>20</v>
      </c>
      <c r="C8" s="12" t="s">
        <v>20</v>
      </c>
      <c r="D8" s="13" t="s">
        <v>21</v>
      </c>
      <c r="E8" s="13" t="s">
        <v>22</v>
      </c>
      <c r="F8" s="47"/>
      <c r="G8" s="47"/>
      <c r="H8" s="47"/>
      <c r="I8" s="47"/>
      <c r="J8" s="47"/>
      <c r="K8" s="47"/>
      <c r="L8" s="47"/>
      <c r="M8" s="47"/>
    </row>
    <row r="9" spans="1:13" ht="15" customHeight="1" x14ac:dyDescent="0.2">
      <c r="A9" s="47"/>
      <c r="B9" s="14" t="s">
        <v>188</v>
      </c>
      <c r="C9" s="14" t="s">
        <v>188</v>
      </c>
      <c r="D9" s="15" t="s">
        <v>188</v>
      </c>
      <c r="E9" s="15" t="s">
        <v>188</v>
      </c>
      <c r="F9" s="47"/>
      <c r="G9" s="47"/>
      <c r="H9" s="47"/>
      <c r="I9" s="47"/>
      <c r="J9" s="47"/>
      <c r="K9" s="47"/>
      <c r="L9" s="47"/>
      <c r="M9" s="47"/>
    </row>
    <row r="10" spans="1:13" ht="15" customHeight="1" x14ac:dyDescent="0.2">
      <c r="A10" s="47"/>
      <c r="B10" s="16" t="s">
        <v>191</v>
      </c>
      <c r="C10" s="16" t="s">
        <v>191</v>
      </c>
      <c r="D10" s="17" t="s">
        <v>190</v>
      </c>
      <c r="E10" s="17" t="s">
        <v>190</v>
      </c>
      <c r="F10" s="47"/>
      <c r="G10" s="47"/>
      <c r="H10" s="47"/>
      <c r="I10" s="47"/>
      <c r="J10" s="47"/>
      <c r="K10" s="47"/>
      <c r="L10" s="47"/>
      <c r="M10" s="47"/>
    </row>
    <row r="11" spans="1:13" ht="15" customHeight="1" x14ac:dyDescent="0.2">
      <c r="A11" s="46" t="s">
        <v>10</v>
      </c>
      <c r="B11" s="12" t="s">
        <v>23</v>
      </c>
      <c r="C11" s="12" t="s">
        <v>23</v>
      </c>
      <c r="D11" s="13" t="s">
        <v>24</v>
      </c>
      <c r="E11" s="13" t="s">
        <v>25</v>
      </c>
      <c r="F11" s="47"/>
      <c r="G11" s="47"/>
      <c r="H11" s="47"/>
      <c r="I11" s="47"/>
      <c r="J11" s="47"/>
      <c r="K11" s="47"/>
      <c r="L11" s="47"/>
      <c r="M11" s="47"/>
    </row>
    <row r="12" spans="1:13" ht="15" customHeight="1" x14ac:dyDescent="0.2">
      <c r="A12" s="47"/>
      <c r="B12" s="14" t="s">
        <v>188</v>
      </c>
      <c r="C12" s="14" t="s">
        <v>188</v>
      </c>
      <c r="D12" s="15" t="s">
        <v>188</v>
      </c>
      <c r="E12" s="15" t="s">
        <v>188</v>
      </c>
      <c r="F12" s="47"/>
      <c r="G12" s="47"/>
      <c r="H12" s="47"/>
      <c r="I12" s="47"/>
      <c r="J12" s="47"/>
      <c r="K12" s="47"/>
      <c r="L12" s="47"/>
      <c r="M12" s="47"/>
    </row>
    <row r="13" spans="1:13" ht="15" customHeight="1" x14ac:dyDescent="0.2">
      <c r="A13" s="47"/>
      <c r="B13" s="16" t="s">
        <v>192</v>
      </c>
      <c r="C13" s="16" t="s">
        <v>192</v>
      </c>
      <c r="D13" s="17" t="s">
        <v>190</v>
      </c>
      <c r="E13" s="17" t="s">
        <v>190</v>
      </c>
      <c r="F13" s="47"/>
      <c r="G13" s="47"/>
      <c r="H13" s="47"/>
      <c r="I13" s="47"/>
      <c r="J13" s="47"/>
      <c r="K13" s="47"/>
      <c r="L13" s="47"/>
      <c r="M13" s="47"/>
    </row>
    <row r="14" spans="1:13" ht="15" customHeight="1" x14ac:dyDescent="0.2">
      <c r="A14" s="46" t="s">
        <v>11</v>
      </c>
      <c r="B14" s="12" t="s">
        <v>26</v>
      </c>
      <c r="C14" s="12" t="s">
        <v>26</v>
      </c>
      <c r="D14" s="13" t="s">
        <v>27</v>
      </c>
      <c r="E14" s="13" t="s">
        <v>28</v>
      </c>
      <c r="F14" s="47"/>
      <c r="G14" s="47"/>
      <c r="H14" s="47"/>
      <c r="I14" s="47"/>
      <c r="J14" s="47"/>
      <c r="K14" s="47"/>
      <c r="L14" s="47"/>
      <c r="M14" s="47"/>
    </row>
    <row r="15" spans="1:13" ht="15" customHeight="1" x14ac:dyDescent="0.2">
      <c r="A15" s="47"/>
      <c r="B15" s="14" t="s">
        <v>188</v>
      </c>
      <c r="C15" s="14" t="s">
        <v>188</v>
      </c>
      <c r="D15" s="15" t="s">
        <v>188</v>
      </c>
      <c r="E15" s="15" t="s">
        <v>188</v>
      </c>
      <c r="F15" s="47"/>
      <c r="G15" s="47"/>
      <c r="H15" s="47"/>
      <c r="I15" s="47"/>
      <c r="J15" s="47"/>
      <c r="K15" s="47"/>
      <c r="L15" s="47"/>
      <c r="M15" s="47"/>
    </row>
    <row r="16" spans="1:13" ht="15" customHeight="1" x14ac:dyDescent="0.2">
      <c r="A16" s="47"/>
      <c r="B16" s="16" t="s">
        <v>193</v>
      </c>
      <c r="C16" s="16" t="s">
        <v>193</v>
      </c>
      <c r="D16" s="17" t="s">
        <v>190</v>
      </c>
      <c r="E16" s="17" t="s">
        <v>190</v>
      </c>
      <c r="F16" s="47"/>
      <c r="G16" s="47"/>
      <c r="H16" s="47"/>
      <c r="I16" s="47"/>
      <c r="J16" s="47"/>
      <c r="K16" s="47"/>
      <c r="L16" s="47"/>
      <c r="M16" s="47"/>
    </row>
    <row r="17" spans="1:13" ht="15" customHeight="1" x14ac:dyDescent="0.2">
      <c r="A17" s="46" t="s">
        <v>12</v>
      </c>
      <c r="B17" s="12" t="s">
        <v>29</v>
      </c>
      <c r="C17" s="12" t="s">
        <v>29</v>
      </c>
      <c r="D17" s="13" t="s">
        <v>30</v>
      </c>
      <c r="E17" s="13" t="s">
        <v>31</v>
      </c>
      <c r="F17" s="47"/>
      <c r="G17" s="47"/>
      <c r="H17" s="47"/>
      <c r="I17" s="47"/>
      <c r="J17" s="47"/>
      <c r="K17" s="47"/>
      <c r="L17" s="47"/>
      <c r="M17" s="47"/>
    </row>
    <row r="18" spans="1:13" ht="15" customHeight="1" x14ac:dyDescent="0.2">
      <c r="A18" s="47"/>
      <c r="B18" s="14" t="s">
        <v>188</v>
      </c>
      <c r="C18" s="14" t="s">
        <v>188</v>
      </c>
      <c r="D18" s="15" t="s">
        <v>188</v>
      </c>
      <c r="E18" s="15" t="s">
        <v>188</v>
      </c>
      <c r="F18" s="47"/>
      <c r="G18" s="47"/>
      <c r="H18" s="47"/>
      <c r="I18" s="47"/>
      <c r="J18" s="47"/>
      <c r="K18" s="47"/>
      <c r="L18" s="47"/>
      <c r="M18" s="47"/>
    </row>
    <row r="19" spans="1:13" ht="15" customHeight="1" x14ac:dyDescent="0.2">
      <c r="A19" s="47"/>
      <c r="B19" s="16" t="s">
        <v>194</v>
      </c>
      <c r="C19" s="16" t="s">
        <v>194</v>
      </c>
      <c r="D19" s="17" t="s">
        <v>190</v>
      </c>
      <c r="E19" s="17" t="s">
        <v>190</v>
      </c>
      <c r="F19" s="47"/>
      <c r="G19" s="47"/>
      <c r="H19" s="47"/>
      <c r="I19" s="47"/>
      <c r="J19" s="47"/>
      <c r="K19" s="47"/>
      <c r="L19" s="47"/>
      <c r="M19" s="47"/>
    </row>
    <row r="20" spans="1:13" ht="15" customHeight="1" x14ac:dyDescent="0.2">
      <c r="A20" s="46" t="s">
        <v>13</v>
      </c>
      <c r="B20" s="12" t="s">
        <v>32</v>
      </c>
      <c r="C20" s="12" t="s">
        <v>32</v>
      </c>
      <c r="D20" s="13" t="s">
        <v>33</v>
      </c>
      <c r="E20" s="13" t="s">
        <v>34</v>
      </c>
      <c r="F20" s="47"/>
      <c r="G20" s="47"/>
      <c r="H20" s="47"/>
      <c r="I20" s="47"/>
      <c r="J20" s="47"/>
      <c r="K20" s="47"/>
      <c r="L20" s="47"/>
      <c r="M20" s="47"/>
    </row>
    <row r="21" spans="1:13" ht="15" customHeight="1" x14ac:dyDescent="0.2">
      <c r="A21" s="47"/>
      <c r="B21" s="14" t="s">
        <v>188</v>
      </c>
      <c r="C21" s="14" t="s">
        <v>188</v>
      </c>
      <c r="D21" s="15" t="s">
        <v>188</v>
      </c>
      <c r="E21" s="15" t="s">
        <v>188</v>
      </c>
      <c r="F21" s="47"/>
      <c r="G21" s="47"/>
      <c r="H21" s="47"/>
      <c r="I21" s="47"/>
      <c r="J21" s="47"/>
      <c r="K21" s="47"/>
      <c r="L21" s="47"/>
      <c r="M21" s="47"/>
    </row>
    <row r="22" spans="1:13" ht="15" customHeight="1" x14ac:dyDescent="0.2">
      <c r="A22" s="47"/>
      <c r="B22" s="16" t="s">
        <v>195</v>
      </c>
      <c r="C22" s="16" t="s">
        <v>195</v>
      </c>
      <c r="D22" s="17" t="s">
        <v>190</v>
      </c>
      <c r="E22" s="17" t="s">
        <v>190</v>
      </c>
      <c r="F22" s="47"/>
      <c r="G22" s="47"/>
      <c r="H22" s="47"/>
      <c r="I22" s="47"/>
      <c r="J22" s="47"/>
      <c r="K22" s="47"/>
      <c r="L22" s="47"/>
      <c r="M22" s="47"/>
    </row>
    <row r="23" spans="1:13" ht="15" customHeight="1" x14ac:dyDescent="0.2">
      <c r="A23" s="46" t="s">
        <v>14</v>
      </c>
      <c r="B23" s="12" t="s">
        <v>35</v>
      </c>
      <c r="C23" s="12" t="s">
        <v>35</v>
      </c>
      <c r="D23" s="13" t="s">
        <v>36</v>
      </c>
      <c r="E23" s="13" t="s">
        <v>37</v>
      </c>
      <c r="F23" s="47"/>
      <c r="G23" s="47"/>
      <c r="H23" s="47"/>
      <c r="I23" s="47"/>
      <c r="J23" s="47"/>
      <c r="K23" s="47"/>
      <c r="L23" s="47"/>
      <c r="M23" s="47"/>
    </row>
    <row r="24" spans="1:13" ht="15" customHeight="1" x14ac:dyDescent="0.2">
      <c r="A24" s="47"/>
      <c r="B24" s="14" t="s">
        <v>188</v>
      </c>
      <c r="C24" s="14" t="s">
        <v>188</v>
      </c>
      <c r="D24" s="15" t="s">
        <v>188</v>
      </c>
      <c r="E24" s="15" t="s">
        <v>188</v>
      </c>
      <c r="F24" s="47"/>
      <c r="G24" s="47"/>
      <c r="H24" s="47"/>
      <c r="I24" s="47"/>
      <c r="J24" s="47"/>
      <c r="K24" s="47"/>
      <c r="L24" s="47"/>
      <c r="M24" s="47"/>
    </row>
    <row r="25" spans="1:13" ht="15" customHeight="1" x14ac:dyDescent="0.2">
      <c r="A25" s="47"/>
      <c r="B25" s="16" t="s">
        <v>196</v>
      </c>
      <c r="C25" s="16" t="s">
        <v>196</v>
      </c>
      <c r="D25" s="17" t="s">
        <v>190</v>
      </c>
      <c r="E25" s="17" t="s">
        <v>190</v>
      </c>
      <c r="F25" s="47"/>
      <c r="G25" s="47"/>
      <c r="H25" s="47"/>
      <c r="I25" s="47"/>
      <c r="J25" s="47"/>
      <c r="K25" s="47"/>
      <c r="L25" s="47"/>
      <c r="M25" s="47"/>
    </row>
    <row r="26" spans="1:13" ht="15" customHeight="1" x14ac:dyDescent="0.2">
      <c r="A26" s="46" t="s">
        <v>15</v>
      </c>
      <c r="B26" s="18" t="s">
        <v>38</v>
      </c>
      <c r="C26" s="18" t="s">
        <v>38</v>
      </c>
      <c r="D26" s="13" t="s">
        <v>39</v>
      </c>
      <c r="E26" s="13" t="s">
        <v>40</v>
      </c>
      <c r="F26" s="47"/>
      <c r="G26" s="47"/>
      <c r="H26" s="47"/>
      <c r="I26" s="47"/>
      <c r="J26" s="47"/>
      <c r="K26" s="47"/>
      <c r="L26" s="47"/>
      <c r="M26" s="47"/>
    </row>
    <row r="27" spans="1:13" ht="15" customHeight="1" x14ac:dyDescent="0.2">
      <c r="A27" s="47"/>
      <c r="B27" s="19" t="s">
        <v>188</v>
      </c>
      <c r="C27" s="19" t="s">
        <v>188</v>
      </c>
      <c r="D27" s="15" t="s">
        <v>188</v>
      </c>
      <c r="E27" s="15" t="s">
        <v>188</v>
      </c>
      <c r="F27" s="47"/>
      <c r="G27" s="47"/>
      <c r="H27" s="47"/>
      <c r="I27" s="47"/>
      <c r="J27" s="47"/>
      <c r="K27" s="47"/>
      <c r="L27" s="47"/>
      <c r="M27" s="47"/>
    </row>
    <row r="28" spans="1:13" ht="15" customHeight="1" x14ac:dyDescent="0.2">
      <c r="A28" s="47"/>
      <c r="B28" s="20"/>
      <c r="C28" s="20"/>
      <c r="D28" s="17" t="s">
        <v>190</v>
      </c>
      <c r="E28" s="17" t="s">
        <v>190</v>
      </c>
      <c r="F28" s="47"/>
      <c r="G28" s="47"/>
      <c r="H28" s="47"/>
      <c r="I28" s="47"/>
      <c r="J28" s="47"/>
      <c r="K28" s="47"/>
      <c r="L28" s="47"/>
      <c r="M28" s="47"/>
    </row>
    <row r="33" spans="1:1" ht="15" customHeight="1" x14ac:dyDescent="0.2">
      <c r="A33" t="s">
        <v>3</v>
      </c>
    </row>
  </sheetData>
  <mergeCells count="72">
    <mergeCell ref="M20:M22"/>
    <mergeCell ref="M23:M25"/>
    <mergeCell ref="M26:M28"/>
    <mergeCell ref="M5:M7"/>
    <mergeCell ref="M8:M10"/>
    <mergeCell ref="M11:M13"/>
    <mergeCell ref="M14:M16"/>
    <mergeCell ref="M17:M19"/>
    <mergeCell ref="K20:K22"/>
    <mergeCell ref="K23:K25"/>
    <mergeCell ref="K26:K28"/>
    <mergeCell ref="L5:L7"/>
    <mergeCell ref="L8:L10"/>
    <mergeCell ref="L11:L13"/>
    <mergeCell ref="L14:L16"/>
    <mergeCell ref="L17:L19"/>
    <mergeCell ref="L20:L22"/>
    <mergeCell ref="L23:L25"/>
    <mergeCell ref="L26:L28"/>
    <mergeCell ref="K5:K7"/>
    <mergeCell ref="K8:K10"/>
    <mergeCell ref="K11:K13"/>
    <mergeCell ref="K14:K16"/>
    <mergeCell ref="K17:K19"/>
    <mergeCell ref="I20:I22"/>
    <mergeCell ref="I23:I25"/>
    <mergeCell ref="I26:I28"/>
    <mergeCell ref="J5:J7"/>
    <mergeCell ref="J8:J10"/>
    <mergeCell ref="J11:J13"/>
    <mergeCell ref="J14:J16"/>
    <mergeCell ref="J17:J19"/>
    <mergeCell ref="J20:J22"/>
    <mergeCell ref="J23:J25"/>
    <mergeCell ref="J26:J28"/>
    <mergeCell ref="I5:I7"/>
    <mergeCell ref="I8:I10"/>
    <mergeCell ref="I11:I13"/>
    <mergeCell ref="I14:I16"/>
    <mergeCell ref="I17:I19"/>
    <mergeCell ref="G20:G22"/>
    <mergeCell ref="G23:G25"/>
    <mergeCell ref="G26:G28"/>
    <mergeCell ref="H5:H7"/>
    <mergeCell ref="H8:H10"/>
    <mergeCell ref="H11:H13"/>
    <mergeCell ref="H14:H16"/>
    <mergeCell ref="H17:H19"/>
    <mergeCell ref="H20:H22"/>
    <mergeCell ref="H23:H25"/>
    <mergeCell ref="H26:H28"/>
    <mergeCell ref="G5:G7"/>
    <mergeCell ref="G8:G10"/>
    <mergeCell ref="G11:G13"/>
    <mergeCell ref="G14:G16"/>
    <mergeCell ref="G17:G19"/>
    <mergeCell ref="A20:A22"/>
    <mergeCell ref="A23:A25"/>
    <mergeCell ref="A26:A28"/>
    <mergeCell ref="F5:F7"/>
    <mergeCell ref="F8:F10"/>
    <mergeCell ref="F11:F13"/>
    <mergeCell ref="F14:F16"/>
    <mergeCell ref="F17:F19"/>
    <mergeCell ref="F20:F22"/>
    <mergeCell ref="F23:F25"/>
    <mergeCell ref="F26:F28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Absorbance 1_01</vt:lpstr>
      <vt:lpstr>Standard Curve 1_02</vt:lpstr>
      <vt:lpstr>Blank Subtraction 1_03</vt:lpstr>
      <vt:lpstr>Standard Curve 2_04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Afsar, Md Nure Alam</cp:lastModifiedBy>
  <dcterms:created xsi:type="dcterms:W3CDTF">2026-08-21T14:24:26Z</dcterms:created>
  <dcterms:modified xsi:type="dcterms:W3CDTF">2026-09-09T20:47:20Z</dcterms:modified>
</cp:coreProperties>
</file>