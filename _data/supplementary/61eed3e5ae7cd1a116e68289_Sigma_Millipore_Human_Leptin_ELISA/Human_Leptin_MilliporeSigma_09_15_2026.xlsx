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Leptin/"/>
    </mc:Choice>
  </mc:AlternateContent>
  <xr:revisionPtr revIDLastSave="197" documentId="11_69101E725426C63D2D01CC4FD69036A69D296A6C" xr6:coauthVersionLast="47" xr6:coauthVersionMax="47" xr10:uidLastSave="{D24165DD-04D9-4077-83E4-558B31B4D2A9}"/>
  <bookViews>
    <workbookView xWindow="-120" yWindow="-120" windowWidth="29040" windowHeight="15720" firstSheet="2" activeTab="6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Basic Calculation 1_05" sheetId="5" r:id="rId5"/>
    <sheet name="Blank Subtraction 2_06" sheetId="6" r:id="rId6"/>
    <sheet name="Standard Curve 3_07" sheetId="7" r:id="rId7"/>
    <sheet name="General information" sheetId="8" r:id="rId8"/>
    <sheet name="Session information" sheetId="9" r:id="rId9"/>
    <sheet name="Instrument information" sheetId="10" r:id="rId10"/>
    <sheet name="Protocol parameters" sheetId="11" r:id="rId11"/>
    <sheet name="Run log" sheetId="12" r:id="rId12"/>
    <sheet name="Layout definitions" sheetId="13" r:id="rId13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7" l="1"/>
  <c r="L95" i="7"/>
  <c r="L96" i="7"/>
  <c r="L97" i="7"/>
  <c r="L93" i="7"/>
  <c r="L79" i="7"/>
  <c r="L80" i="7"/>
  <c r="L81" i="7"/>
  <c r="L82" i="7"/>
  <c r="L78" i="7"/>
  <c r="M103" i="7"/>
  <c r="M102" i="7"/>
  <c r="M101" i="7"/>
  <c r="M100" i="7"/>
  <c r="M88" i="7"/>
  <c r="M87" i="7"/>
  <c r="M86" i="7"/>
  <c r="M85" i="7"/>
</calcChain>
</file>

<file path=xl/sharedStrings.xml><?xml version="1.0" encoding="utf-8"?>
<sst xmlns="http://schemas.openxmlformats.org/spreadsheetml/2006/main" count="1240" uniqueCount="273">
  <si>
    <t>Measurement results</t>
  </si>
  <si>
    <t>Human_Leptin_MilliporeSigma_09_15_2026_first trial.skax</t>
  </si>
  <si>
    <t>2026-09-15T16:52:29-05:00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</si>
  <si>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</si>
  <si>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</si>
  <si>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</si>
  <si>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</si>
  <si>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</si>
  <si>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</si>
  <si>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</si>
  <si>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</si>
  <si>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</si>
  <si>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</si>
  <si>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</si>
  <si>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</si>
  <si>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</si>
  <si>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Wavelength: 590 nm</t>
  </si>
  <si>
    <t>Sample</t>
  </si>
  <si>
    <t>Std80001</t>
  </si>
  <si>
    <t>Blank1</t>
  </si>
  <si>
    <t>Un0008</t>
  </si>
  <si>
    <t>Un0009</t>
  </si>
  <si>
    <t>Un0010</t>
  </si>
  <si>
    <t>Std70001</t>
  </si>
  <si>
    <t>Un0001</t>
  </si>
  <si>
    <t>Un0011</t>
  </si>
  <si>
    <t>Un0012</t>
  </si>
  <si>
    <t>Un0013</t>
  </si>
  <si>
    <t>Std60001</t>
  </si>
  <si>
    <t>Un0002</t>
  </si>
  <si>
    <t>Un0014</t>
  </si>
  <si>
    <t>Un0015</t>
  </si>
  <si>
    <t>Un0016</t>
  </si>
  <si>
    <t>Std50001</t>
  </si>
  <si>
    <t>Un0003</t>
  </si>
  <si>
    <t>Un0017</t>
  </si>
  <si>
    <t>Un0018</t>
  </si>
  <si>
    <t>Un0019</t>
  </si>
  <si>
    <t>Std40001</t>
  </si>
  <si>
    <t>Un0004</t>
  </si>
  <si>
    <t>Un0020</t>
  </si>
  <si>
    <t>Un0021</t>
  </si>
  <si>
    <t>Un0022</t>
  </si>
  <si>
    <t>Std30001</t>
  </si>
  <si>
    <t>Un0005</t>
  </si>
  <si>
    <t>Un0023</t>
  </si>
  <si>
    <t>Un0024</t>
  </si>
  <si>
    <t>Un0025</t>
  </si>
  <si>
    <t>Std20001</t>
  </si>
  <si>
    <t>Un0006</t>
  </si>
  <si>
    <t>Un0026</t>
  </si>
  <si>
    <t>Un0027</t>
  </si>
  <si>
    <t>Un0028</t>
  </si>
  <si>
    <t>Std10001</t>
  </si>
  <si>
    <t>Un0007</t>
  </si>
  <si>
    <t>Un0029</t>
  </si>
  <si>
    <t>Un0030</t>
  </si>
  <si>
    <t>Un0031</t>
  </si>
  <si>
    <t>Autoloading range A1 - M42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</si>
  <si>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</si>
  <si>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</si>
  <si>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</si>
  <si>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</si>
  <si>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</si>
  <si>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</si>
  <si>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5.75889 + ( (0.0499233 - 5.75889) / ( 1 + (x/47.3807)^1.076)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</si>
  <si>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</si>
  <si>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</si>
  <si>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</si>
  <si>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</si>
  <si>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</si>
  <si>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</si>
  <si>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</si>
  <si>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</si>
  <si>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</t>
  </si>
  <si>
    <t>Original signal</t>
  </si>
  <si>
    <t>CV%</t>
  </si>
  <si>
    <t>Fitted signal</t>
  </si>
  <si>
    <t>Residual</t>
  </si>
  <si>
    <t>Average</t>
  </si>
  <si>
    <t>H01</t>
  </si>
  <si>
    <t>H02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</si>
  <si>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</si>
  <si>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</si>
  <si>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</si>
  <si>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</si>
  <si>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</si>
  <si>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</si>
  <si>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</si>
  <si>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</si>
  <si>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</si>
  <si>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</si>
  <si>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</si>
  <si>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</si>
  <si>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</si>
  <si>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</si>
  <si>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</si>
  <si>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</si>
  <si>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>Autoloading range A1 - M104</t>
  </si>
  <si>
    <t>Blank Subtraction 1</t>
  </si>
  <si>
    <t>Blank subtracted</t>
  </si>
  <si>
    <t>Autoloading range A1 - M45</t>
  </si>
  <si>
    <t>Standard Curve 2</t>
  </si>
  <si>
    <t>y = 5.71341 + ( (0.00444947 - 5.71341) / ( 1 + (x/47.3807)^1.076) )</t>
  </si>
  <si>
    <t>Basic Calculation 1</t>
  </si>
  <si>
    <t>Calculation type: Subtraction</t>
  </si>
  <si>
    <t>Data source A: Absorbance 1</t>
  </si>
  <si>
    <t>Data source B: Absorbance 1</t>
  </si>
  <si>
    <t>Calculated</t>
  </si>
  <si>
    <t>Autoloading range A1 - M32</t>
  </si>
  <si>
    <t>Blank Subtraction 2</t>
  </si>
  <si>
    <t>Autoloading range A1 - M29</t>
  </si>
  <si>
    <t>Standard Curve 3</t>
  </si>
  <si>
    <t>y = 5.90121 + ( (0.00243012 - 5.90121) / ( 1 + (x/49.684)^1.07265) )</t>
  </si>
  <si>
    <t>Autoloading range A1 - M103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</si>
  <si>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</si>
  <si>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</si>
  <si>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</si>
  <si>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</si>
  <si>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</si>
  <si>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</si>
  <si>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</si>
  <si>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</si>
  <si>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Human Leptin_MilliporeSigma_09_15_2026-first trial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</si>
  <si>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</si>
  <si>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</si>
  <si>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</si>
  <si>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</si>
  <si>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</si>
  <si>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</si>
  <si>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</si>
  <si>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</si>
  <si>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</si>
  <si>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</si>
  <si>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</si>
  <si>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</si>
  <si>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</si>
  <si>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</si>
  <si>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</si>
  <si>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</si>
  <si>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</si>
  <si>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</si>
  <si>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</si>
  <si>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</si>
  <si>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</si>
  <si>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</si>
  <si>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</si>
  <si>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</si>
  <si>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</si>
  <si>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</si>
  <si>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</si>
  <si>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</si>
  <si>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</si>
  <si>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</si>
  <si>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</si>
  <si>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</si>
  <si>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</si>
  <si>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</si>
  <si>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</si>
  <si>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</si>
  <si>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</si>
  <si>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</si>
  <si>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</si>
  <si>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</si>
  <si>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</si>
  <si>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</si>
  <si>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</si>
  <si>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</si>
  <si>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</si>
  <si>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</si>
  <si>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</si>
  <si>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</si>
  <si>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</si>
  <si>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</si>
  <si>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</si>
  <si>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</si>
  <si>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</si>
  <si>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</si>
  <si>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</si>
  <si>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</si>
  <si>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</si>
  <si>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</si>
  <si>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</si>
  <si>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</si>
  <si>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</si>
  <si>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</si>
  <si>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</si>
  <si>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</si>
  <si>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</si>
  <si>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</si>
  <si>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</si>
  <si>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</si>
  <si>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</si>
  <si>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590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</si>
  <si>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</si>
  <si>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</si>
  <si>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</si>
  <si>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</si>
  <si>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</si>
  <si>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</si>
  <si>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</si>
  <si>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</si>
  <si>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Human_Leptin_MilliporeSigma_09_15_2026_first trial.skax started</t>
  </si>
  <si>
    <t>2026-09-15T16:52:30-05:00</t>
  </si>
  <si>
    <t>Temperature</t>
  </si>
  <si>
    <t>22.5°C</t>
  </si>
  <si>
    <t>Step Shake 1 started</t>
  </si>
  <si>
    <t>2026-09-15T16:52:47-05:00</t>
  </si>
  <si>
    <t>2026-09-15T16:52:53-05:00</t>
  </si>
  <si>
    <t>Step Shake 1 ended</t>
  </si>
  <si>
    <t>Step Absorbance 1 started</t>
  </si>
  <si>
    <t>2026-09-15T16:53:47-05:00</t>
  </si>
  <si>
    <t>2026-09-15T16:54:19-05:00</t>
  </si>
  <si>
    <t>Step Absorbance 1 ended</t>
  </si>
  <si>
    <t>2026-09-15T16:54:24-05:00</t>
  </si>
  <si>
    <t>Session Human_Leptin_MilliporeSigma_09_15_2026_first trial.skax ended</t>
  </si>
  <si>
    <t>Plate template</t>
  </si>
  <si>
    <t>ANSI/SBS Standard, 96-well</t>
  </si>
  <si>
    <t>Group 1</t>
  </si>
  <si>
    <t xml:space="preserve">0.1953125 </t>
  </si>
  <si>
    <t>1:1</t>
  </si>
  <si>
    <t>0.390625 ng/mL</t>
  </si>
  <si>
    <t>0.78125 ng/mL</t>
  </si>
  <si>
    <t>1.5625 ng/mL</t>
  </si>
  <si>
    <t>3.125 ng/mL</t>
  </si>
  <si>
    <t>6.25 ng/mL</t>
  </si>
  <si>
    <t>12.5 ng/mL</t>
  </si>
  <si>
    <t>25 ng/mL</t>
  </si>
  <si>
    <t>Std2 12.5</t>
  </si>
  <si>
    <t>Std1 25</t>
  </si>
  <si>
    <t>Std3 6.25</t>
  </si>
  <si>
    <t>Std4 3.125</t>
  </si>
  <si>
    <t>Std5 1.5625</t>
  </si>
  <si>
    <t>Std6 0.78125</t>
  </si>
  <si>
    <t>Std7 0.390625</t>
  </si>
  <si>
    <t>Std8 0.195313</t>
  </si>
  <si>
    <t>Serum 1X</t>
  </si>
  <si>
    <t>Serum 4X</t>
  </si>
  <si>
    <t>Serum 16X</t>
  </si>
  <si>
    <t>Serum 64X</t>
  </si>
  <si>
    <t>Serum 256X</t>
  </si>
  <si>
    <t>Sp1 5 (Serum 1X)</t>
  </si>
  <si>
    <t>Sp2 5 (Serum 16X)</t>
  </si>
  <si>
    <t>Sp2 5 (Serum 64X)</t>
  </si>
  <si>
    <t>Sp3 5 (Serum 64X)</t>
  </si>
  <si>
    <t>Sp4 5 (Serum 256X)</t>
  </si>
  <si>
    <t>EtOH 1X</t>
  </si>
  <si>
    <t>EtOH 4X</t>
  </si>
  <si>
    <t>EtOH 16X</t>
  </si>
  <si>
    <t>EtOH 64X</t>
  </si>
  <si>
    <t>EtOH 256X</t>
  </si>
  <si>
    <t>Sp5 5 (EtOH 1X)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</si>
  <si>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</si>
  <si>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</si>
  <si>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</si>
  <si>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</si>
  <si>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</si>
  <si>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</si>
  <si>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</si>
  <si>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Spike 1</t>
  </si>
  <si>
    <t>Spike 2</t>
  </si>
  <si>
    <t>Spike 3</t>
  </si>
  <si>
    <t>Spike 4</t>
  </si>
  <si>
    <t>Serum treated with EtOH</t>
  </si>
  <si>
    <t>Spike 5</t>
  </si>
  <si>
    <t>Spike 6</t>
  </si>
  <si>
    <t>Spike 7</t>
  </si>
  <si>
    <t>Spike 8</t>
  </si>
  <si>
    <t>Sp6 5 (EtOH 16X)</t>
  </si>
  <si>
    <t>Sp7 5 (EtOH 64X)</t>
  </si>
  <si>
    <t>Sp8 5 (EtOH 256X)</t>
  </si>
  <si>
    <t>QC 2  (3.3 - 6.8)</t>
  </si>
  <si>
    <t>QC 1 (1.2 - 1.6)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</si>
</sst>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00"/>
    <numFmt numFmtId="166" formatCode="0.000"/>
    <numFmt numFmtId="167" formatCode="0.00000"/>
    <numFmt numFmtId="168" formatCode="0.000000"/>
    <numFmt numFmtId="169" formatCode="0.000000000"/>
    <numFmt numFmtId="170" formatCode="0.00000000"/>
  </numFmts>
  <fonts count="2" x14ac:knownFonts="1">
    <font>
      <sz val="10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E7F4F5"/>
      </patternFill>
    </fill>
    <fill>
      <patternFill patternType="solid">
        <fgColor rgb="FF5685C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/>
    </xf>
    <xf numFmtId="168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170" fontId="0" fillId="0" borderId="5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5" borderId="0" xfId="0" applyFont="1" applyFill="1" applyAlignment="1">
      <alignment horizontal="left"/>
    </xf>
    <xf numFmtId="2" fontId="1" fillId="0" borderId="5" xfId="0" applyNumberFormat="1" applyFont="1" applyBorder="1" applyAlignment="1">
      <alignment horizontal="left"/>
    </xf>
    <xf numFmtId="1" fontId="0" fillId="0" borderId="5" xfId="0" applyNumberFormat="1" applyBorder="1" applyAlignment="1">
      <alignment horizontal="right"/>
    </xf>
    <xf numFmtId="0" fontId="0" fillId="5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485775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857250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409575</xdr:colOff>
      <xdr:row>32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44"/>
  <sheetViews>
    <sheetView topLeftCell="A16" workbookViewId="0">
      <selection activeCell="A10" sqref="A10:G18"/>
    </sheetView>
  </sheetViews>
  <sheetFormatPr defaultColWidth="9.140625" defaultRowHeight="15" customHeight="1" x14ac:dyDescent="0.2"/>
  <cols>
    <col min="1" max="1" width="14.140625" customWidth="1"/>
    <col min="2" max="7" width="17.1406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0" t="s">
        <v>7</v>
      </c>
      <c r="B10" s="22">
        <v>1</v>
      </c>
      <c r="C10" s="22">
        <v>2</v>
      </c>
      <c r="D10" s="22">
        <v>3</v>
      </c>
      <c r="E10" s="22">
        <v>4</v>
      </c>
      <c r="F10" s="22">
        <v>5</v>
      </c>
      <c r="G10" s="22">
        <v>6</v>
      </c>
      <c r="H10" s="1"/>
      <c r="I10" s="1"/>
      <c r="J10" s="1"/>
      <c r="K10" s="1"/>
      <c r="L10" s="1"/>
      <c r="M10" s="1"/>
    </row>
    <row r="11" spans="1:13" ht="15" customHeight="1" x14ac:dyDescent="0.2">
      <c r="A11" s="20" t="s">
        <v>8</v>
      </c>
      <c r="B11" s="26">
        <v>6.4500000000000002E-2</v>
      </c>
      <c r="C11" s="26">
        <v>7.0099999999999996E-2</v>
      </c>
      <c r="D11" s="26">
        <v>4.5499999999999999E-2</v>
      </c>
      <c r="E11" s="26">
        <v>0.45369999999999999</v>
      </c>
      <c r="F11" s="26">
        <v>0.45540000000000003</v>
      </c>
      <c r="G11" s="26">
        <v>0.45850000000000002</v>
      </c>
    </row>
    <row r="12" spans="1:13" ht="15" customHeight="1" x14ac:dyDescent="0.2">
      <c r="A12" s="20" t="s">
        <v>9</v>
      </c>
      <c r="B12" s="26">
        <v>8.1000000000000003E-2</v>
      </c>
      <c r="C12" s="26">
        <v>8.3199999999999996E-2</v>
      </c>
      <c r="D12" s="26">
        <v>4.9799999999999997E-2</v>
      </c>
      <c r="E12" s="26">
        <v>4.7899999999999998E-2</v>
      </c>
      <c r="F12" s="26">
        <v>0.47560000000000002</v>
      </c>
      <c r="G12" s="26">
        <v>0.44280000000000003</v>
      </c>
    </row>
    <row r="13" spans="1:13" ht="15" customHeight="1" x14ac:dyDescent="0.2">
      <c r="A13" s="20" t="s">
        <v>10</v>
      </c>
      <c r="B13" s="26">
        <v>0.1157</v>
      </c>
      <c r="C13" s="26">
        <v>0.12189999999999999</v>
      </c>
      <c r="D13" s="26">
        <v>4.6100000000000002E-2</v>
      </c>
      <c r="E13" s="26">
        <v>4.6600000000000003E-2</v>
      </c>
      <c r="F13" s="26">
        <v>5.21E-2</v>
      </c>
      <c r="G13" s="26">
        <v>0.17480000000000001</v>
      </c>
    </row>
    <row r="14" spans="1:13" ht="15" customHeight="1" x14ac:dyDescent="0.2">
      <c r="A14" s="20" t="s">
        <v>11</v>
      </c>
      <c r="B14" s="26">
        <v>0.18779999999999999</v>
      </c>
      <c r="C14" s="26">
        <v>0.18890000000000001</v>
      </c>
      <c r="D14" s="26">
        <v>4.6300000000000001E-2</v>
      </c>
      <c r="E14" s="26">
        <v>6.13E-2</v>
      </c>
      <c r="F14" s="26">
        <v>5.2600000000000001E-2</v>
      </c>
      <c r="G14" s="26">
        <v>0.17879999999999999</v>
      </c>
    </row>
    <row r="15" spans="1:13" ht="15" customHeight="1" x14ac:dyDescent="0.2">
      <c r="A15" s="20" t="s">
        <v>12</v>
      </c>
      <c r="B15" s="26">
        <v>0.34499999999999997</v>
      </c>
      <c r="C15" s="26">
        <v>0.33100000000000002</v>
      </c>
      <c r="D15" s="26">
        <v>4.7199999999999999E-2</v>
      </c>
      <c r="E15" s="26">
        <v>4.8000000000000001E-2</v>
      </c>
      <c r="F15" s="26">
        <v>4.8000000000000001E-2</v>
      </c>
      <c r="G15" s="26">
        <v>0.4078</v>
      </c>
    </row>
    <row r="16" spans="1:13" ht="15" customHeight="1" x14ac:dyDescent="0.2">
      <c r="A16" s="20" t="s">
        <v>13</v>
      </c>
      <c r="B16" s="26">
        <v>0.61799999999999999</v>
      </c>
      <c r="C16" s="26">
        <v>0.65400000000000003</v>
      </c>
      <c r="D16" s="26">
        <v>4.9099999999999998E-2</v>
      </c>
      <c r="E16" s="26">
        <v>4.8599999999999997E-2</v>
      </c>
      <c r="F16" s="26">
        <v>5.3900000000000003E-2</v>
      </c>
      <c r="G16" s="26">
        <v>0.42370000000000002</v>
      </c>
    </row>
    <row r="17" spans="1:13" ht="15" customHeight="1" x14ac:dyDescent="0.2">
      <c r="A17" s="20" t="s">
        <v>14</v>
      </c>
      <c r="B17" s="26">
        <v>1.1459999999999999</v>
      </c>
      <c r="C17" s="26">
        <v>1.1457999999999999</v>
      </c>
      <c r="D17" s="26">
        <v>0.41520000000000001</v>
      </c>
      <c r="E17" s="26">
        <v>0.39750000000000002</v>
      </c>
      <c r="F17" s="26">
        <v>4.8800000000000003E-2</v>
      </c>
      <c r="G17" s="26">
        <v>0.42730000000000001</v>
      </c>
    </row>
    <row r="18" spans="1:13" ht="15" customHeight="1" x14ac:dyDescent="0.2">
      <c r="A18" s="20" t="s">
        <v>15</v>
      </c>
      <c r="B18" s="26">
        <v>1.9655</v>
      </c>
      <c r="C18" s="26">
        <v>1.9547000000000001</v>
      </c>
      <c r="D18" s="26">
        <v>0.48809999999999998</v>
      </c>
      <c r="E18" s="26">
        <v>0.50929999999999997</v>
      </c>
      <c r="F18" s="26">
        <v>0.45829999999999999</v>
      </c>
      <c r="G18" s="26">
        <v>0.52080000000000004</v>
      </c>
    </row>
    <row r="20" spans="1:13" ht="15" customHeight="1" x14ac:dyDescent="0.2">
      <c r="A20" t="s">
        <v>16</v>
      </c>
    </row>
    <row r="21" spans="1:13" ht="15" customHeight="1" x14ac:dyDescent="0.2">
      <c r="A21" t="s">
        <v>3</v>
      </c>
    </row>
    <row r="22" spans="1:13" ht="15" customHeight="1" x14ac:dyDescent="0.2">
      <c r="A22" t="s">
        <v>6</v>
      </c>
    </row>
    <row r="23" spans="1:13" ht="15" customHeight="1" x14ac:dyDescent="0.2">
      <c r="A23" t="s">
        <v>3</v>
      </c>
    </row>
    <row r="24" spans="1:13" ht="15" customHeight="1" x14ac:dyDescent="0.2">
      <c r="A24" s="20" t="s">
        <v>7</v>
      </c>
      <c r="B24" s="22">
        <v>1</v>
      </c>
      <c r="C24" s="22">
        <v>2</v>
      </c>
      <c r="D24" s="22">
        <v>3</v>
      </c>
      <c r="E24" s="22">
        <v>4</v>
      </c>
      <c r="F24" s="22">
        <v>5</v>
      </c>
      <c r="G24" s="22">
        <v>6</v>
      </c>
      <c r="H24" s="1"/>
      <c r="I24" s="1"/>
      <c r="J24" s="1"/>
      <c r="K24" s="1"/>
      <c r="L24" s="1"/>
      <c r="M24" s="1"/>
    </row>
    <row r="25" spans="1:13" ht="15" customHeight="1" x14ac:dyDescent="0.2">
      <c r="A25" s="20" t="s">
        <v>8</v>
      </c>
      <c r="B25" s="26">
        <v>3.9399999999999998E-2</v>
      </c>
      <c r="C25" s="26">
        <v>4.2900000000000001E-2</v>
      </c>
      <c r="D25" s="26">
        <v>3.8899999999999997E-2</v>
      </c>
      <c r="E25" s="26">
        <v>4.02E-2</v>
      </c>
      <c r="F25" s="26">
        <v>4.0399999999999998E-2</v>
      </c>
      <c r="G25" s="26">
        <v>4.02E-2</v>
      </c>
    </row>
    <row r="26" spans="1:13" ht="15" customHeight="1" x14ac:dyDescent="0.2">
      <c r="A26" s="20" t="s">
        <v>9</v>
      </c>
      <c r="B26" s="26">
        <v>4.1099999999999998E-2</v>
      </c>
      <c r="C26" s="26">
        <v>4.0099999999999997E-2</v>
      </c>
      <c r="D26" s="26">
        <v>4.3299999999999998E-2</v>
      </c>
      <c r="E26" s="26">
        <v>4.1599999999999998E-2</v>
      </c>
      <c r="F26" s="26">
        <v>4.1799999999999997E-2</v>
      </c>
      <c r="G26" s="26">
        <v>3.8899999999999997E-2</v>
      </c>
    </row>
    <row r="27" spans="1:13" ht="15" customHeight="1" x14ac:dyDescent="0.2">
      <c r="A27" s="20" t="s">
        <v>10</v>
      </c>
      <c r="B27" s="26">
        <v>4.3499999999999997E-2</v>
      </c>
      <c r="C27" s="26">
        <v>4.2099999999999999E-2</v>
      </c>
      <c r="D27" s="26">
        <v>3.95E-2</v>
      </c>
      <c r="E27" s="26">
        <v>3.9899999999999998E-2</v>
      </c>
      <c r="F27" s="26">
        <v>4.0099999999999997E-2</v>
      </c>
      <c r="G27" s="26">
        <v>3.8399999999999997E-2</v>
      </c>
    </row>
    <row r="28" spans="1:13" ht="15" customHeight="1" x14ac:dyDescent="0.2">
      <c r="A28" s="20" t="s">
        <v>11</v>
      </c>
      <c r="B28" s="26">
        <v>4.2599999999999999E-2</v>
      </c>
      <c r="C28" s="26">
        <v>0.04</v>
      </c>
      <c r="D28" s="26">
        <v>4.0899999999999999E-2</v>
      </c>
      <c r="E28" s="26">
        <v>5.33E-2</v>
      </c>
      <c r="F28" s="26">
        <v>4.2700000000000002E-2</v>
      </c>
      <c r="G28" s="26">
        <v>3.9800000000000002E-2</v>
      </c>
    </row>
    <row r="29" spans="1:13" ht="15" customHeight="1" x14ac:dyDescent="0.2">
      <c r="A29" s="20" t="s">
        <v>12</v>
      </c>
      <c r="B29" s="26">
        <v>3.95E-2</v>
      </c>
      <c r="C29" s="26">
        <v>3.95E-2</v>
      </c>
      <c r="D29" s="26">
        <v>3.9800000000000002E-2</v>
      </c>
      <c r="E29" s="26">
        <v>4.0099999999999997E-2</v>
      </c>
      <c r="F29" s="26">
        <v>3.9399999999999998E-2</v>
      </c>
      <c r="G29" s="26">
        <v>3.8600000000000002E-2</v>
      </c>
    </row>
    <row r="30" spans="1:13" ht="15" customHeight="1" x14ac:dyDescent="0.2">
      <c r="A30" s="20" t="s">
        <v>13</v>
      </c>
      <c r="B30" s="26">
        <v>4.1000000000000002E-2</v>
      </c>
      <c r="C30" s="26">
        <v>5.7099999999999998E-2</v>
      </c>
      <c r="D30" s="26">
        <v>4.1799999999999997E-2</v>
      </c>
      <c r="E30" s="26">
        <v>4.1300000000000003E-2</v>
      </c>
      <c r="F30" s="26">
        <v>4.2799999999999998E-2</v>
      </c>
      <c r="G30" s="26">
        <v>4.0300000000000002E-2</v>
      </c>
    </row>
    <row r="31" spans="1:13" ht="15" customHeight="1" x14ac:dyDescent="0.2">
      <c r="A31" s="20" t="s">
        <v>14</v>
      </c>
      <c r="B31" s="26">
        <v>4.6199999999999998E-2</v>
      </c>
      <c r="C31" s="26">
        <v>4.3099999999999999E-2</v>
      </c>
      <c r="D31" s="26">
        <v>4.9299999999999997E-2</v>
      </c>
      <c r="E31" s="26">
        <v>4.6800000000000001E-2</v>
      </c>
      <c r="F31" s="26">
        <v>4.07E-2</v>
      </c>
      <c r="G31" s="26">
        <v>4.1599999999999998E-2</v>
      </c>
    </row>
    <row r="32" spans="1:13" ht="15" customHeight="1" x14ac:dyDescent="0.2">
      <c r="A32" s="20" t="s">
        <v>15</v>
      </c>
      <c r="B32" s="26">
        <v>4.3400000000000001E-2</v>
      </c>
      <c r="C32" s="26">
        <v>3.9199999999999999E-2</v>
      </c>
      <c r="D32" s="26">
        <v>4.1599999999999998E-2</v>
      </c>
      <c r="E32" s="26">
        <v>4.2099999999999999E-2</v>
      </c>
      <c r="F32" s="26">
        <v>4.0399999999999998E-2</v>
      </c>
      <c r="G32" s="26">
        <v>5.5300000000000002E-2</v>
      </c>
    </row>
    <row r="34" spans="1:13" ht="15" customHeight="1" x14ac:dyDescent="0.2">
      <c r="A34" s="20" t="s">
        <v>17</v>
      </c>
      <c r="B34" s="22">
        <v>1</v>
      </c>
      <c r="C34" s="22">
        <v>2</v>
      </c>
      <c r="D34" s="22">
        <v>3</v>
      </c>
      <c r="E34" s="22">
        <v>4</v>
      </c>
      <c r="F34" s="22">
        <v>5</v>
      </c>
      <c r="G34" s="22">
        <v>6</v>
      </c>
      <c r="H34" s="1"/>
      <c r="I34" s="1"/>
      <c r="J34" s="1"/>
      <c r="K34" s="1"/>
      <c r="L34" s="1"/>
      <c r="M34" s="1"/>
    </row>
    <row r="35" spans="1:13" ht="15" customHeight="1" x14ac:dyDescent="0.2">
      <c r="A35" s="20" t="s">
        <v>8</v>
      </c>
      <c r="B35" s="20" t="s">
        <v>235</v>
      </c>
      <c r="C35" s="20" t="s">
        <v>235</v>
      </c>
      <c r="D35" s="20" t="s">
        <v>19</v>
      </c>
      <c r="E35" s="21" t="s">
        <v>251</v>
      </c>
      <c r="F35" s="21" t="s">
        <v>244</v>
      </c>
      <c r="G35" s="21" t="s">
        <v>243</v>
      </c>
    </row>
    <row r="36" spans="1:13" ht="15" customHeight="1" x14ac:dyDescent="0.2">
      <c r="A36" s="20" t="s">
        <v>9</v>
      </c>
      <c r="B36" s="20" t="s">
        <v>234</v>
      </c>
      <c r="C36" s="20" t="s">
        <v>234</v>
      </c>
      <c r="D36" s="20" t="s">
        <v>236</v>
      </c>
      <c r="E36" s="20" t="s">
        <v>236</v>
      </c>
      <c r="F36" s="21" t="s">
        <v>245</v>
      </c>
      <c r="G36" s="21" t="s">
        <v>245</v>
      </c>
    </row>
    <row r="37" spans="1:13" ht="15" customHeight="1" x14ac:dyDescent="0.2">
      <c r="A37" s="20" t="s">
        <v>10</v>
      </c>
      <c r="B37" s="20" t="s">
        <v>233</v>
      </c>
      <c r="C37" s="20" t="s">
        <v>233</v>
      </c>
      <c r="D37" s="20" t="s">
        <v>237</v>
      </c>
      <c r="E37" s="20" t="s">
        <v>237</v>
      </c>
      <c r="F37" s="20" t="s">
        <v>246</v>
      </c>
      <c r="G37" s="20" t="s">
        <v>272</v>
      </c>
    </row>
    <row r="38" spans="1:13" ht="15" customHeight="1" x14ac:dyDescent="0.2">
      <c r="A38" s="20" t="s">
        <v>11</v>
      </c>
      <c r="B38" s="20" t="s">
        <v>232</v>
      </c>
      <c r="C38" s="20" t="s">
        <v>232</v>
      </c>
      <c r="D38" s="20" t="s">
        <v>238</v>
      </c>
      <c r="E38" s="20" t="s">
        <v>238</v>
      </c>
      <c r="F38" s="20" t="s">
        <v>247</v>
      </c>
      <c r="G38" s="20" t="s">
        <v>272</v>
      </c>
    </row>
    <row r="39" spans="1:13" ht="12.75" x14ac:dyDescent="0.2">
      <c r="A39" s="20" t="s">
        <v>12</v>
      </c>
      <c r="B39" s="20" t="s">
        <v>231</v>
      </c>
      <c r="C39" s="20" t="s">
        <v>231</v>
      </c>
      <c r="D39" s="20" t="s">
        <v>239</v>
      </c>
      <c r="E39" s="20" t="s">
        <v>239</v>
      </c>
      <c r="F39" s="20" t="s">
        <v>248</v>
      </c>
      <c r="G39" s="20" t="s">
        <v>271</v>
      </c>
    </row>
    <row r="40" spans="1:13" ht="12.75" x14ac:dyDescent="0.2">
      <c r="A40" s="20" t="s">
        <v>13</v>
      </c>
      <c r="B40" s="20" t="s">
        <v>230</v>
      </c>
      <c r="C40" s="20" t="s">
        <v>230</v>
      </c>
      <c r="D40" s="20" t="s">
        <v>240</v>
      </c>
      <c r="E40" s="20" t="s">
        <v>240</v>
      </c>
      <c r="F40" s="20" t="s">
        <v>249</v>
      </c>
      <c r="G40" s="20" t="s">
        <v>271</v>
      </c>
    </row>
    <row r="41" spans="1:13" ht="12.75" x14ac:dyDescent="0.2">
      <c r="A41" s="20" t="s">
        <v>14</v>
      </c>
      <c r="B41" s="20" t="s">
        <v>228</v>
      </c>
      <c r="C41" s="20" t="s">
        <v>228</v>
      </c>
      <c r="D41" s="21" t="s">
        <v>241</v>
      </c>
      <c r="E41" s="20" t="s">
        <v>241</v>
      </c>
      <c r="F41" s="20" t="s">
        <v>250</v>
      </c>
      <c r="G41" s="21" t="s">
        <v>268</v>
      </c>
    </row>
    <row r="42" spans="1:13" ht="12.75" x14ac:dyDescent="0.2">
      <c r="A42" s="20" t="s">
        <v>15</v>
      </c>
      <c r="B42" s="20" t="s">
        <v>229</v>
      </c>
      <c r="C42" s="20" t="s">
        <v>229</v>
      </c>
      <c r="D42" s="21" t="s">
        <v>242</v>
      </c>
      <c r="E42" s="20" t="s">
        <v>242</v>
      </c>
      <c r="F42" s="21" t="s">
        <v>269</v>
      </c>
      <c r="G42" s="21" t="s">
        <v>270</v>
      </c>
    </row>
    <row r="44" spans="1:13" ht="12.75" x14ac:dyDescent="0.2">
      <c r="A44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6"/>
  <sheetViews>
    <sheetView topLeftCell="A71" workbookViewId="0">
      <selection activeCell="P79" sqref="P79:P80"/>
    </sheetView>
  </sheetViews>
  <sheetFormatPr defaultColWidth="9.140625" defaultRowHeight="15" customHeight="1" x14ac:dyDescent="0.2"/>
  <cols>
    <col min="1" max="1" width="9.85546875" customWidth="1"/>
    <col min="2" max="7" width="17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59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65</v>
      </c>
    </row>
    <row r="38" spans="1:7" ht="15" customHeight="1" x14ac:dyDescent="0.2">
      <c r="A38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  <c r="B40" s="2">
        <v>4.9923299999999997E-2</v>
      </c>
    </row>
    <row r="41" spans="1:7" ht="12.75" x14ac:dyDescent="0.2">
      <c r="A41" t="s">
        <v>69</v>
      </c>
      <c r="B41" s="3">
        <v>1.0760000000000001</v>
      </c>
    </row>
    <row r="42" spans="1:7" ht="12.75" x14ac:dyDescent="0.2">
      <c r="A42" t="s">
        <v>70</v>
      </c>
      <c r="B42" s="4">
        <v>47.380699999999997</v>
      </c>
    </row>
    <row r="43" spans="1:7" ht="12.75" x14ac:dyDescent="0.2">
      <c r="A43" t="s">
        <v>71</v>
      </c>
      <c r="B43" s="5">
        <v>5.7588900000000001</v>
      </c>
    </row>
    <row r="44" spans="1:7" ht="12.75" x14ac:dyDescent="0.2"/>
    <row r="45" spans="1:7" ht="12.75" x14ac:dyDescent="0.2">
      <c r="A45" t="s">
        <v>72</v>
      </c>
    </row>
    <row r="46" spans="1:7" ht="12.75" x14ac:dyDescent="0.2">
      <c r="A46" t="s">
        <v>3</v>
      </c>
    </row>
    <row r="47" spans="1:7" ht="12.75" x14ac:dyDescent="0.2">
      <c r="A47" t="s">
        <v>73</v>
      </c>
      <c r="B47" t="s">
        <v>17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</row>
    <row r="48" spans="1:7" ht="12.75" x14ac:dyDescent="0.2">
      <c r="A48" t="s">
        <v>79</v>
      </c>
      <c r="B48" t="s">
        <v>53</v>
      </c>
      <c r="C48" s="4">
        <v>25</v>
      </c>
      <c r="D48" s="5">
        <v>1.96008</v>
      </c>
      <c r="E48" s="6">
        <v>0.38925500000000002</v>
      </c>
      <c r="F48" s="5">
        <v>1.95953</v>
      </c>
      <c r="G48" s="7">
        <v>5.4007999999999997E-4</v>
      </c>
    </row>
    <row r="49" spans="1:7" ht="12.75" x14ac:dyDescent="0.2">
      <c r="A49" t="s">
        <v>80</v>
      </c>
      <c r="B49" t="s">
        <v>53</v>
      </c>
      <c r="C49" s="4">
        <v>25</v>
      </c>
      <c r="D49" s="5">
        <v>1.9654700000000001</v>
      </c>
      <c r="F49" s="5">
        <v>1.95953</v>
      </c>
      <c r="G49" s="8">
        <v>5.9350799999999997E-3</v>
      </c>
    </row>
    <row r="50" spans="1:7" ht="12.75" x14ac:dyDescent="0.2">
      <c r="A50" t="s">
        <v>81</v>
      </c>
      <c r="B50" t="s">
        <v>53</v>
      </c>
      <c r="C50" s="4">
        <v>25</v>
      </c>
      <c r="D50" s="5">
        <v>1.95468</v>
      </c>
      <c r="F50" s="5">
        <v>1.95953</v>
      </c>
      <c r="G50" s="8">
        <v>-4.8549200000000004E-3</v>
      </c>
    </row>
    <row r="51" spans="1:7" ht="12.75" x14ac:dyDescent="0.2">
      <c r="A51" t="s">
        <v>79</v>
      </c>
      <c r="B51" t="s">
        <v>48</v>
      </c>
      <c r="C51" s="4">
        <v>12.5</v>
      </c>
      <c r="D51" s="5">
        <v>1.1458999999999999</v>
      </c>
      <c r="E51" s="2">
        <v>1.11074E-2</v>
      </c>
      <c r="F51" s="5">
        <v>1.1489799999999999</v>
      </c>
      <c r="G51" s="8">
        <v>-3.0759799999999999E-3</v>
      </c>
    </row>
    <row r="52" spans="1:7" ht="12.75" x14ac:dyDescent="0.2">
      <c r="A52" t="s">
        <v>82</v>
      </c>
      <c r="B52" t="s">
        <v>48</v>
      </c>
      <c r="C52" s="4">
        <v>12.5</v>
      </c>
      <c r="D52" s="5">
        <v>1.1459900000000001</v>
      </c>
      <c r="F52" s="5">
        <v>1.1489799999999999</v>
      </c>
      <c r="G52" s="8">
        <v>-2.9859800000000001E-3</v>
      </c>
    </row>
    <row r="53" spans="1:7" ht="12.75" x14ac:dyDescent="0.2">
      <c r="A53" t="s">
        <v>83</v>
      </c>
      <c r="B53" t="s">
        <v>48</v>
      </c>
      <c r="C53" s="4">
        <v>12.5</v>
      </c>
      <c r="D53" s="5">
        <v>1.14581</v>
      </c>
      <c r="F53" s="5">
        <v>1.1489799999999999</v>
      </c>
      <c r="G53" s="8">
        <v>-3.1659800000000001E-3</v>
      </c>
    </row>
    <row r="54" spans="1:7" ht="12.75" x14ac:dyDescent="0.2">
      <c r="A54" t="s">
        <v>79</v>
      </c>
      <c r="B54" t="s">
        <v>43</v>
      </c>
      <c r="C54" s="5">
        <v>6.25</v>
      </c>
      <c r="D54" s="6">
        <v>0.63597099999999995</v>
      </c>
      <c r="E54" s="5">
        <v>3.9987900000000001</v>
      </c>
      <c r="F54" s="6">
        <v>0.62994499999999998</v>
      </c>
      <c r="G54" s="8">
        <v>6.0255200000000004E-3</v>
      </c>
    </row>
    <row r="55" spans="1:7" ht="12.75" x14ac:dyDescent="0.2">
      <c r="A55" t="s">
        <v>84</v>
      </c>
      <c r="B55" t="s">
        <v>43</v>
      </c>
      <c r="C55" s="5">
        <v>6.25</v>
      </c>
      <c r="D55" s="6">
        <v>0.61798799999999998</v>
      </c>
      <c r="F55" s="6">
        <v>0.62994499999999998</v>
      </c>
      <c r="G55" s="2">
        <v>-1.1957000000000001E-2</v>
      </c>
    </row>
    <row r="56" spans="1:7" ht="12.75" x14ac:dyDescent="0.2">
      <c r="A56" t="s">
        <v>85</v>
      </c>
      <c r="B56" t="s">
        <v>43</v>
      </c>
      <c r="C56" s="5">
        <v>6.25</v>
      </c>
      <c r="D56" s="6">
        <v>0.65395300000000001</v>
      </c>
      <c r="F56" s="6">
        <v>0.62994499999999998</v>
      </c>
      <c r="G56" s="2">
        <v>2.4008000000000002E-2</v>
      </c>
    </row>
    <row r="57" spans="1:7" ht="12.75" x14ac:dyDescent="0.2">
      <c r="A57" t="s">
        <v>79</v>
      </c>
      <c r="B57" t="s">
        <v>38</v>
      </c>
      <c r="C57" s="5">
        <v>3.125</v>
      </c>
      <c r="D57" s="6">
        <v>0.33798099999999998</v>
      </c>
      <c r="E57" s="5">
        <v>2.9273400000000001</v>
      </c>
      <c r="F57" s="6">
        <v>0.34057399999999999</v>
      </c>
      <c r="G57" s="8">
        <v>-2.5927599999999999E-3</v>
      </c>
    </row>
    <row r="58" spans="1:7" ht="12.75" x14ac:dyDescent="0.2">
      <c r="A58" t="s">
        <v>86</v>
      </c>
      <c r="B58" t="s">
        <v>38</v>
      </c>
      <c r="C58" s="5">
        <v>3.125</v>
      </c>
      <c r="D58" s="6">
        <v>0.34497699999999998</v>
      </c>
      <c r="F58" s="6">
        <v>0.34057399999999999</v>
      </c>
      <c r="G58" s="8">
        <v>4.4032400000000001E-3</v>
      </c>
    </row>
    <row r="59" spans="1:7" ht="12.75" x14ac:dyDescent="0.2">
      <c r="A59" t="s">
        <v>87</v>
      </c>
      <c r="B59" t="s">
        <v>38</v>
      </c>
      <c r="C59" s="5">
        <v>3.125</v>
      </c>
      <c r="D59" s="6">
        <v>0.33098499999999997</v>
      </c>
      <c r="F59" s="6">
        <v>0.34057399999999999</v>
      </c>
      <c r="G59" s="8">
        <v>-9.58876E-3</v>
      </c>
    </row>
    <row r="60" spans="1:7" ht="12.75" x14ac:dyDescent="0.2">
      <c r="A60" t="s">
        <v>79</v>
      </c>
      <c r="B60" t="s">
        <v>33</v>
      </c>
      <c r="C60" s="5">
        <v>1.5625</v>
      </c>
      <c r="D60" s="6">
        <v>0.188304</v>
      </c>
      <c r="E60" s="6">
        <v>0.413441</v>
      </c>
      <c r="F60" s="6">
        <v>0.191582</v>
      </c>
      <c r="G60" s="8">
        <v>-3.2782200000000001E-3</v>
      </c>
    </row>
    <row r="61" spans="1:7" ht="12.75" x14ac:dyDescent="0.2">
      <c r="A61" t="s">
        <v>88</v>
      </c>
      <c r="B61" t="s">
        <v>33</v>
      </c>
      <c r="C61" s="5">
        <v>1.5625</v>
      </c>
      <c r="D61" s="6">
        <v>0.187753</v>
      </c>
      <c r="F61" s="6">
        <v>0.191582</v>
      </c>
      <c r="G61" s="8">
        <v>-3.8287199999999999E-3</v>
      </c>
    </row>
    <row r="62" spans="1:7" ht="12.75" x14ac:dyDescent="0.2">
      <c r="A62" t="s">
        <v>89</v>
      </c>
      <c r="B62" t="s">
        <v>33</v>
      </c>
      <c r="C62" s="5">
        <v>1.5625</v>
      </c>
      <c r="D62" s="6">
        <v>0.18885399999999999</v>
      </c>
      <c r="F62" s="6">
        <v>0.191582</v>
      </c>
      <c r="G62" s="8">
        <v>-2.7277199999999999E-3</v>
      </c>
    </row>
    <row r="63" spans="1:7" ht="12.75" x14ac:dyDescent="0.2">
      <c r="A63" t="s">
        <v>79</v>
      </c>
      <c r="B63" t="s">
        <v>28</v>
      </c>
      <c r="C63" s="6">
        <v>0.78125</v>
      </c>
      <c r="D63" s="6">
        <v>0.11879199999999999</v>
      </c>
      <c r="E63" s="5">
        <v>3.7173400000000001</v>
      </c>
      <c r="F63" s="6">
        <v>0.118006</v>
      </c>
      <c r="G63" s="7">
        <v>7.8582399999999996E-4</v>
      </c>
    </row>
    <row r="64" spans="1:7" ht="12.75" x14ac:dyDescent="0.2">
      <c r="A64" t="s">
        <v>90</v>
      </c>
      <c r="B64" t="s">
        <v>28</v>
      </c>
      <c r="C64" s="6">
        <v>0.78125</v>
      </c>
      <c r="D64" s="6">
        <v>0.11566899999999999</v>
      </c>
      <c r="F64" s="6">
        <v>0.118006</v>
      </c>
      <c r="G64" s="8">
        <v>-2.3366799999999998E-3</v>
      </c>
    </row>
    <row r="65" spans="1:13" ht="12.75" x14ac:dyDescent="0.2">
      <c r="A65" t="s">
        <v>91</v>
      </c>
      <c r="B65" t="s">
        <v>28</v>
      </c>
      <c r="C65" s="6">
        <v>0.78125</v>
      </c>
      <c r="D65" s="6">
        <v>0.12191399999999999</v>
      </c>
      <c r="F65" s="6">
        <v>0.118006</v>
      </c>
      <c r="G65" s="8">
        <v>3.9083199999999998E-3</v>
      </c>
    </row>
    <row r="66" spans="1:13" ht="12.75" x14ac:dyDescent="0.2">
      <c r="A66" t="s">
        <v>79</v>
      </c>
      <c r="B66" t="s">
        <v>23</v>
      </c>
      <c r="C66" s="6">
        <v>0.390625</v>
      </c>
      <c r="D66" s="2">
        <v>8.2080700000000006E-2</v>
      </c>
      <c r="E66" s="5">
        <v>1.89758</v>
      </c>
      <c r="F66" s="2">
        <v>8.2421300000000003E-2</v>
      </c>
      <c r="G66" s="7">
        <v>-3.4060600000000003E-4</v>
      </c>
    </row>
    <row r="67" spans="1:13" ht="12.75" x14ac:dyDescent="0.2">
      <c r="A67" t="s">
        <v>92</v>
      </c>
      <c r="B67" t="s">
        <v>23</v>
      </c>
      <c r="C67" s="6">
        <v>0.390625</v>
      </c>
      <c r="D67" s="2">
        <v>8.0979300000000004E-2</v>
      </c>
      <c r="F67" s="2">
        <v>8.2421300000000003E-2</v>
      </c>
      <c r="G67" s="8">
        <v>-1.4419599999999999E-3</v>
      </c>
    </row>
    <row r="68" spans="1:13" ht="12.75" x14ac:dyDescent="0.2">
      <c r="A68" t="s">
        <v>93</v>
      </c>
      <c r="B68" t="s">
        <v>23</v>
      </c>
      <c r="C68" s="6">
        <v>0.390625</v>
      </c>
      <c r="D68" s="2">
        <v>8.3182000000000006E-2</v>
      </c>
      <c r="F68" s="2">
        <v>8.2421300000000003E-2</v>
      </c>
      <c r="G68" s="7">
        <v>7.6074400000000005E-4</v>
      </c>
    </row>
    <row r="69" spans="1:13" ht="12.75" x14ac:dyDescent="0.2">
      <c r="A69" t="s">
        <v>79</v>
      </c>
      <c r="B69" t="s">
        <v>18</v>
      </c>
      <c r="C69" s="6">
        <v>0.19531299999999999</v>
      </c>
      <c r="D69" s="2">
        <v>6.73208E-2</v>
      </c>
      <c r="E69" s="5">
        <v>5.8784099999999997</v>
      </c>
      <c r="F69" s="2">
        <v>6.5384700000000004E-2</v>
      </c>
      <c r="G69" s="8">
        <v>1.93614E-3</v>
      </c>
    </row>
    <row r="70" spans="1:13" ht="12.75" x14ac:dyDescent="0.2">
      <c r="A70" t="s">
        <v>94</v>
      </c>
      <c r="B70" t="s">
        <v>18</v>
      </c>
      <c r="C70" s="6">
        <v>0.19531299999999999</v>
      </c>
      <c r="D70" s="2">
        <v>6.4522499999999997E-2</v>
      </c>
      <c r="F70" s="2">
        <v>6.5384700000000004E-2</v>
      </c>
      <c r="G70" s="7">
        <v>-8.6215700000000001E-4</v>
      </c>
    </row>
    <row r="71" spans="1:13" ht="12.75" x14ac:dyDescent="0.2">
      <c r="A71" t="s">
        <v>95</v>
      </c>
      <c r="B71" t="s">
        <v>18</v>
      </c>
      <c r="C71" s="6">
        <v>0.19531299999999999</v>
      </c>
      <c r="D71" s="2">
        <v>7.0119100000000004E-2</v>
      </c>
      <c r="F71" s="2">
        <v>6.5384700000000004E-2</v>
      </c>
      <c r="G71" s="8">
        <v>4.7344400000000003E-3</v>
      </c>
    </row>
    <row r="72" spans="1:13" ht="12.75" x14ac:dyDescent="0.2"/>
    <row r="73" spans="1:13" ht="12.75" x14ac:dyDescent="0.2"/>
    <row r="74" spans="1:13" ht="12.75" x14ac:dyDescent="0.2">
      <c r="A74" t="s">
        <v>6</v>
      </c>
    </row>
    <row r="75" spans="1:13" ht="12.75" x14ac:dyDescent="0.2">
      <c r="A75" t="s">
        <v>3</v>
      </c>
    </row>
    <row r="76" spans="1:13" ht="12.75" x14ac:dyDescent="0.2">
      <c r="A76" s="20" t="s">
        <v>96</v>
      </c>
      <c r="B76" s="22">
        <v>1</v>
      </c>
      <c r="C76" s="22">
        <v>2</v>
      </c>
      <c r="D76" s="22">
        <v>3</v>
      </c>
      <c r="E76" s="22">
        <v>4</v>
      </c>
      <c r="F76" s="22">
        <v>5</v>
      </c>
      <c r="G76" s="22">
        <v>6</v>
      </c>
      <c r="H76" s="1"/>
      <c r="I76" s="1"/>
      <c r="J76" s="1"/>
      <c r="K76" s="1"/>
      <c r="L76" s="1"/>
      <c r="M76" s="1"/>
    </row>
    <row r="77" spans="1:13" ht="12.75" x14ac:dyDescent="0.2">
      <c r="A77" s="20" t="s">
        <v>8</v>
      </c>
      <c r="B77" s="25">
        <v>6.4522499999999997E-2</v>
      </c>
      <c r="C77" s="25">
        <v>7.0119100000000004E-2</v>
      </c>
      <c r="D77" s="20"/>
      <c r="E77" s="23">
        <v>0.45372499999999999</v>
      </c>
      <c r="F77" s="23">
        <v>0.45538200000000001</v>
      </c>
      <c r="G77" s="23">
        <v>0.45854699999999998</v>
      </c>
    </row>
    <row r="78" spans="1:13" ht="12.75" x14ac:dyDescent="0.2">
      <c r="A78" s="20" t="s">
        <v>9</v>
      </c>
      <c r="B78" s="25">
        <v>8.0979300000000004E-2</v>
      </c>
      <c r="C78" s="25">
        <v>8.3182000000000006E-2</v>
      </c>
      <c r="D78" s="25">
        <v>4.9775199999999999E-2</v>
      </c>
      <c r="E78" s="25">
        <v>4.7944899999999999E-2</v>
      </c>
      <c r="F78" s="23">
        <v>0.47560799999999998</v>
      </c>
      <c r="G78" s="23">
        <v>0.44280799999999998</v>
      </c>
    </row>
    <row r="79" spans="1:13" ht="12.75" x14ac:dyDescent="0.2">
      <c r="A79" s="20" t="s">
        <v>10</v>
      </c>
      <c r="B79" s="23">
        <v>0.11566899999999999</v>
      </c>
      <c r="C79" s="23">
        <v>0.12191399999999999</v>
      </c>
      <c r="D79" s="25">
        <v>4.6098899999999998E-2</v>
      </c>
      <c r="E79" s="25">
        <v>4.6561999999999999E-2</v>
      </c>
      <c r="F79" s="25">
        <v>5.2062900000000002E-2</v>
      </c>
      <c r="G79" s="23">
        <v>0.17475599999999999</v>
      </c>
    </row>
    <row r="80" spans="1:13" ht="12.75" x14ac:dyDescent="0.2">
      <c r="A80" s="20" t="s">
        <v>11</v>
      </c>
      <c r="B80" s="23">
        <v>0.187753</v>
      </c>
      <c r="C80" s="23">
        <v>0.18885399999999999</v>
      </c>
      <c r="D80" s="25">
        <v>4.6303299999999999E-2</v>
      </c>
      <c r="E80" s="25">
        <v>6.12563E-2</v>
      </c>
      <c r="F80" s="25">
        <v>5.25937E-2</v>
      </c>
      <c r="G80" s="23">
        <v>0.178762</v>
      </c>
    </row>
    <row r="81" spans="1:13" ht="12.75" x14ac:dyDescent="0.2">
      <c r="A81" s="20" t="s">
        <v>12</v>
      </c>
      <c r="B81" s="23">
        <v>0.34497699999999998</v>
      </c>
      <c r="C81" s="23">
        <v>0.33098499999999997</v>
      </c>
      <c r="D81" s="25">
        <v>4.7220499999999999E-2</v>
      </c>
      <c r="E81" s="25">
        <v>4.8034599999999997E-2</v>
      </c>
      <c r="F81" s="25">
        <v>4.7979000000000001E-2</v>
      </c>
      <c r="G81" s="23">
        <v>0.40783799999999998</v>
      </c>
    </row>
    <row r="82" spans="1:13" ht="12.75" x14ac:dyDescent="0.2">
      <c r="A82" s="20" t="s">
        <v>13</v>
      </c>
      <c r="B82" s="23">
        <v>0.61798799999999998</v>
      </c>
      <c r="C82" s="23">
        <v>0.65395300000000001</v>
      </c>
      <c r="D82" s="25">
        <v>4.9077299999999997E-2</v>
      </c>
      <c r="E82" s="25">
        <v>4.8584200000000001E-2</v>
      </c>
      <c r="F82" s="25">
        <v>5.3922699999999997E-2</v>
      </c>
      <c r="G82" s="23">
        <v>0.42374600000000001</v>
      </c>
    </row>
    <row r="83" spans="1:13" ht="12.75" x14ac:dyDescent="0.2">
      <c r="A83" s="20" t="s">
        <v>14</v>
      </c>
      <c r="B83" s="24">
        <v>1.1459900000000001</v>
      </c>
      <c r="C83" s="24">
        <v>1.14581</v>
      </c>
      <c r="D83" s="23">
        <v>0.41521000000000002</v>
      </c>
      <c r="E83" s="23">
        <v>0.39751599999999998</v>
      </c>
      <c r="F83" s="25">
        <v>4.8764599999999998E-2</v>
      </c>
      <c r="G83" s="23">
        <v>0.42725099999999999</v>
      </c>
    </row>
    <row r="84" spans="1:13" ht="12.75" x14ac:dyDescent="0.2">
      <c r="A84" s="20" t="s">
        <v>15</v>
      </c>
      <c r="B84" s="24">
        <v>1.9654700000000001</v>
      </c>
      <c r="C84" s="24">
        <v>1.95468</v>
      </c>
      <c r="D84" s="23">
        <v>0.48813899999999999</v>
      </c>
      <c r="E84" s="23">
        <v>0.50925299999999996</v>
      </c>
      <c r="F84" s="23">
        <v>0.45832600000000001</v>
      </c>
      <c r="G84" s="23">
        <v>0.52078500000000005</v>
      </c>
    </row>
    <row r="85" spans="1:13" ht="12.75" x14ac:dyDescent="0.2"/>
    <row r="86" spans="1:13" ht="12.75" x14ac:dyDescent="0.2">
      <c r="A86" s="20" t="s">
        <v>74</v>
      </c>
      <c r="B86" s="22">
        <v>1</v>
      </c>
      <c r="C86" s="22">
        <v>2</v>
      </c>
      <c r="D86" s="22">
        <v>3</v>
      </c>
      <c r="E86" s="22">
        <v>4</v>
      </c>
      <c r="F86" s="22">
        <v>5</v>
      </c>
      <c r="G86" s="22">
        <v>6</v>
      </c>
      <c r="H86" s="1"/>
      <c r="I86" s="1"/>
      <c r="J86" s="1"/>
      <c r="K86" s="1"/>
      <c r="L86" s="1"/>
      <c r="M86" s="1"/>
    </row>
    <row r="87" spans="1:13" ht="12.75" x14ac:dyDescent="0.2">
      <c r="A87" s="20" t="s">
        <v>8</v>
      </c>
      <c r="B87" s="23">
        <v>0.185144</v>
      </c>
      <c r="C87" s="23">
        <v>0.25054399999999999</v>
      </c>
      <c r="D87" s="20"/>
      <c r="E87" s="24">
        <v>4.32592</v>
      </c>
      <c r="F87" s="24">
        <v>4.34368</v>
      </c>
      <c r="G87" s="24">
        <v>4.3776099999999998</v>
      </c>
    </row>
    <row r="88" spans="1:13" ht="12.75" x14ac:dyDescent="0.2">
      <c r="A88" s="20" t="s">
        <v>9</v>
      </c>
      <c r="B88" s="23">
        <v>0.37440299999999999</v>
      </c>
      <c r="C88" s="23">
        <v>0.39916600000000002</v>
      </c>
      <c r="D88" s="20" t="s">
        <v>97</v>
      </c>
      <c r="E88" s="20" t="s">
        <v>97</v>
      </c>
      <c r="F88" s="24">
        <v>4.5608700000000004</v>
      </c>
      <c r="G88" s="24">
        <v>4.2090800000000002</v>
      </c>
    </row>
    <row r="89" spans="1:13" ht="12.75" x14ac:dyDescent="0.2">
      <c r="A89" s="20" t="s">
        <v>10</v>
      </c>
      <c r="B89" s="23">
        <v>0.75600900000000004</v>
      </c>
      <c r="C89" s="23">
        <v>0.82337800000000005</v>
      </c>
      <c r="D89" s="20" t="s">
        <v>97</v>
      </c>
      <c r="E89" s="20" t="s">
        <v>97</v>
      </c>
      <c r="F89" s="25">
        <v>3.1013200000000001E-2</v>
      </c>
      <c r="G89" s="24">
        <v>1.38537</v>
      </c>
    </row>
    <row r="90" spans="1:13" ht="12.75" x14ac:dyDescent="0.2">
      <c r="A90" s="20" t="s">
        <v>11</v>
      </c>
      <c r="B90" s="24">
        <v>1.52224</v>
      </c>
      <c r="C90" s="24">
        <v>1.53382</v>
      </c>
      <c r="D90" s="20" t="s">
        <v>97</v>
      </c>
      <c r="E90" s="23">
        <v>0.14623900000000001</v>
      </c>
      <c r="F90" s="25">
        <v>3.81091E-2</v>
      </c>
      <c r="G90" s="24">
        <v>1.4276</v>
      </c>
    </row>
    <row r="91" spans="1:13" ht="12.75" x14ac:dyDescent="0.2">
      <c r="A91" s="20" t="s">
        <v>12</v>
      </c>
      <c r="B91" s="24">
        <v>3.17137</v>
      </c>
      <c r="C91" s="24">
        <v>3.0240999999999998</v>
      </c>
      <c r="D91" s="20" t="s">
        <v>97</v>
      </c>
      <c r="E91" s="20" t="s">
        <v>97</v>
      </c>
      <c r="F91" s="20" t="s">
        <v>97</v>
      </c>
      <c r="G91" s="24">
        <v>3.8363200000000002</v>
      </c>
    </row>
    <row r="92" spans="1:13" ht="12.75" x14ac:dyDescent="0.2">
      <c r="A92" s="20" t="s">
        <v>13</v>
      </c>
      <c r="B92" s="24">
        <v>6.1169200000000004</v>
      </c>
      <c r="C92" s="24">
        <v>6.51844</v>
      </c>
      <c r="D92" s="20" t="s">
        <v>97</v>
      </c>
      <c r="E92" s="20" t="s">
        <v>97</v>
      </c>
      <c r="F92" s="25">
        <v>5.5481599999999999E-2</v>
      </c>
      <c r="G92" s="24">
        <v>4.0056099999999999</v>
      </c>
    </row>
    <row r="93" spans="1:13" ht="12.75" x14ac:dyDescent="0.2">
      <c r="A93" s="20" t="s">
        <v>14</v>
      </c>
      <c r="B93" s="26">
        <v>12.460900000000001</v>
      </c>
      <c r="C93" s="26">
        <v>12.458600000000001</v>
      </c>
      <c r="D93" s="24">
        <v>3.9147099999999999</v>
      </c>
      <c r="E93" s="24">
        <v>3.7267100000000002</v>
      </c>
      <c r="F93" s="20" t="s">
        <v>97</v>
      </c>
      <c r="G93" s="24">
        <v>4.0429700000000004</v>
      </c>
    </row>
    <row r="94" spans="1:13" ht="12.75" x14ac:dyDescent="0.2">
      <c r="A94" s="20" t="s">
        <v>15</v>
      </c>
      <c r="B94" s="26">
        <v>25.108699999999999</v>
      </c>
      <c r="C94" s="26">
        <v>24.911300000000001</v>
      </c>
      <c r="D94" s="24">
        <v>4.6958700000000002</v>
      </c>
      <c r="E94" s="24">
        <v>4.9241299999999999</v>
      </c>
      <c r="F94" s="24">
        <v>4.3752399999999998</v>
      </c>
      <c r="G94" s="24">
        <v>5.0492299999999997</v>
      </c>
    </row>
    <row r="95" spans="1:13" ht="12.75" x14ac:dyDescent="0.2"/>
    <row r="96" spans="1:13" ht="12.75" x14ac:dyDescent="0.2">
      <c r="A96" s="20" t="s">
        <v>17</v>
      </c>
      <c r="B96" s="22">
        <v>1</v>
      </c>
      <c r="C96" s="22">
        <v>2</v>
      </c>
      <c r="D96" s="22">
        <v>3</v>
      </c>
      <c r="E96" s="22">
        <v>4</v>
      </c>
      <c r="F96" s="22">
        <v>5</v>
      </c>
      <c r="G96" s="22">
        <v>6</v>
      </c>
      <c r="H96" s="1"/>
      <c r="I96" s="1"/>
      <c r="J96" s="1"/>
      <c r="K96" s="1"/>
      <c r="L96" s="1"/>
      <c r="M96" s="1"/>
    </row>
    <row r="97" spans="1:7" ht="12.75" x14ac:dyDescent="0.2">
      <c r="A97" s="20" t="s">
        <v>8</v>
      </c>
      <c r="B97" s="20" t="s">
        <v>235</v>
      </c>
      <c r="C97" s="20" t="s">
        <v>235</v>
      </c>
      <c r="D97" s="20" t="s">
        <v>19</v>
      </c>
      <c r="E97" s="21" t="s">
        <v>251</v>
      </c>
      <c r="F97" s="21" t="s">
        <v>244</v>
      </c>
      <c r="G97" s="21" t="s">
        <v>243</v>
      </c>
    </row>
    <row r="98" spans="1:7" ht="12.75" x14ac:dyDescent="0.2">
      <c r="A98" s="20" t="s">
        <v>9</v>
      </c>
      <c r="B98" s="20" t="s">
        <v>234</v>
      </c>
      <c r="C98" s="20" t="s">
        <v>234</v>
      </c>
      <c r="D98" s="20" t="s">
        <v>236</v>
      </c>
      <c r="E98" s="20" t="s">
        <v>236</v>
      </c>
      <c r="F98" s="21" t="s">
        <v>245</v>
      </c>
      <c r="G98" s="21" t="s">
        <v>245</v>
      </c>
    </row>
    <row r="99" spans="1:7" ht="12.75" x14ac:dyDescent="0.2">
      <c r="A99" s="20" t="s">
        <v>10</v>
      </c>
      <c r="B99" s="20" t="s">
        <v>233</v>
      </c>
      <c r="C99" s="20" t="s">
        <v>233</v>
      </c>
      <c r="D99" s="20" t="s">
        <v>237</v>
      </c>
      <c r="E99" s="20" t="s">
        <v>237</v>
      </c>
      <c r="F99" s="20" t="s">
        <v>246</v>
      </c>
      <c r="G99" s="20" t="s">
        <v>272</v>
      </c>
    </row>
    <row r="100" spans="1:7" ht="12.75" x14ac:dyDescent="0.2">
      <c r="A100" s="20" t="s">
        <v>11</v>
      </c>
      <c r="B100" s="20" t="s">
        <v>232</v>
      </c>
      <c r="C100" s="20" t="s">
        <v>232</v>
      </c>
      <c r="D100" s="20" t="s">
        <v>238</v>
      </c>
      <c r="E100" s="20" t="s">
        <v>238</v>
      </c>
      <c r="F100" s="20" t="s">
        <v>247</v>
      </c>
      <c r="G100" s="20" t="s">
        <v>272</v>
      </c>
    </row>
    <row r="101" spans="1:7" ht="12.75" x14ac:dyDescent="0.2">
      <c r="A101" s="20" t="s">
        <v>12</v>
      </c>
      <c r="B101" s="20" t="s">
        <v>231</v>
      </c>
      <c r="C101" s="20" t="s">
        <v>231</v>
      </c>
      <c r="D101" s="20" t="s">
        <v>239</v>
      </c>
      <c r="E101" s="20" t="s">
        <v>239</v>
      </c>
      <c r="F101" s="20" t="s">
        <v>248</v>
      </c>
      <c r="G101" s="20" t="s">
        <v>271</v>
      </c>
    </row>
    <row r="102" spans="1:7" ht="12.75" x14ac:dyDescent="0.2">
      <c r="A102" s="20" t="s">
        <v>13</v>
      </c>
      <c r="B102" s="20" t="s">
        <v>230</v>
      </c>
      <c r="C102" s="20" t="s">
        <v>230</v>
      </c>
      <c r="D102" s="20" t="s">
        <v>240</v>
      </c>
      <c r="E102" s="20" t="s">
        <v>240</v>
      </c>
      <c r="F102" s="20" t="s">
        <v>249</v>
      </c>
      <c r="G102" s="20" t="s">
        <v>271</v>
      </c>
    </row>
    <row r="103" spans="1:7" ht="12.75" x14ac:dyDescent="0.2">
      <c r="A103" s="20" t="s">
        <v>14</v>
      </c>
      <c r="B103" s="20" t="s">
        <v>228</v>
      </c>
      <c r="C103" s="20" t="s">
        <v>228</v>
      </c>
      <c r="D103" s="21" t="s">
        <v>241</v>
      </c>
      <c r="E103" s="20" t="s">
        <v>241</v>
      </c>
      <c r="F103" s="20" t="s">
        <v>250</v>
      </c>
      <c r="G103" s="21" t="s">
        <v>268</v>
      </c>
    </row>
    <row r="104" spans="1:7" ht="12.75" x14ac:dyDescent="0.2">
      <c r="A104" s="20" t="s">
        <v>15</v>
      </c>
      <c r="B104" s="20" t="s">
        <v>229</v>
      </c>
      <c r="C104" s="20" t="s">
        <v>229</v>
      </c>
      <c r="D104" s="21" t="s">
        <v>242</v>
      </c>
      <c r="E104" s="20" t="s">
        <v>242</v>
      </c>
      <c r="F104" s="21" t="s">
        <v>269</v>
      </c>
      <c r="G104" s="21" t="s">
        <v>270</v>
      </c>
    </row>
    <row r="106" spans="1:7" ht="12.75" x14ac:dyDescent="0.2">
      <c r="A106" t="s">
        <v>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47"/>
  <sheetViews>
    <sheetView topLeftCell="A19" workbookViewId="0">
      <selection activeCell="M20" sqref="M20:N20"/>
    </sheetView>
  </sheetViews>
  <sheetFormatPr defaultColWidth="9.140625" defaultRowHeight="15" customHeight="1" x14ac:dyDescent="0.2"/>
  <cols>
    <col min="1" max="1" width="15.140625" customWidth="1"/>
    <col min="2" max="7" width="18.285156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99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0" t="s">
        <v>100</v>
      </c>
      <c r="B13" s="22">
        <v>1</v>
      </c>
      <c r="C13" s="22">
        <v>2</v>
      </c>
      <c r="D13" s="22">
        <v>3</v>
      </c>
      <c r="E13" s="22">
        <v>4</v>
      </c>
      <c r="F13" s="22">
        <v>5</v>
      </c>
      <c r="G13" s="22">
        <v>6</v>
      </c>
      <c r="H13" s="1"/>
      <c r="I13" s="1"/>
      <c r="J13" s="1"/>
      <c r="K13" s="1"/>
      <c r="L13" s="1"/>
      <c r="M13" s="1"/>
    </row>
    <row r="14" spans="1:13" ht="15" customHeight="1" x14ac:dyDescent="0.2">
      <c r="A14" s="20" t="s">
        <v>8</v>
      </c>
      <c r="B14" s="25">
        <v>1.9048699999999998E-2</v>
      </c>
      <c r="C14" s="25">
        <v>2.4645299999999998E-2</v>
      </c>
      <c r="D14" s="35">
        <v>0</v>
      </c>
      <c r="E14" s="23">
        <v>0.40825099999999998</v>
      </c>
      <c r="F14" s="23">
        <v>0.40990799999999999</v>
      </c>
      <c r="G14" s="23">
        <v>0.41307300000000002</v>
      </c>
    </row>
    <row r="15" spans="1:13" ht="15" customHeight="1" x14ac:dyDescent="0.2">
      <c r="A15" s="20" t="s">
        <v>9</v>
      </c>
      <c r="B15" s="25">
        <v>3.5505500000000002E-2</v>
      </c>
      <c r="C15" s="25">
        <v>3.7708199999999997E-2</v>
      </c>
      <c r="D15" s="28">
        <v>4.3014000000000004E-3</v>
      </c>
      <c r="E15" s="28">
        <v>2.4710999999999999E-3</v>
      </c>
      <c r="F15" s="23">
        <v>0.43013400000000002</v>
      </c>
      <c r="G15" s="23">
        <v>0.39733400000000002</v>
      </c>
    </row>
    <row r="16" spans="1:13" ht="15" customHeight="1" x14ac:dyDescent="0.2">
      <c r="A16" s="20" t="s">
        <v>10</v>
      </c>
      <c r="B16" s="25">
        <v>7.0195199999999999E-2</v>
      </c>
      <c r="C16" s="25">
        <v>7.64402E-2</v>
      </c>
      <c r="D16" s="27">
        <v>6.2509999999999996E-4</v>
      </c>
      <c r="E16" s="28">
        <v>1.0882000000000001E-3</v>
      </c>
      <c r="F16" s="28">
        <v>6.5890999999999996E-3</v>
      </c>
      <c r="G16" s="23">
        <v>0.12928200000000001</v>
      </c>
    </row>
    <row r="17" spans="1:13" ht="15" customHeight="1" x14ac:dyDescent="0.2">
      <c r="A17" s="20" t="s">
        <v>11</v>
      </c>
      <c r="B17" s="23">
        <v>0.14227899999999999</v>
      </c>
      <c r="C17" s="23">
        <v>0.14338000000000001</v>
      </c>
      <c r="D17" s="27">
        <v>8.2950000000000005E-4</v>
      </c>
      <c r="E17" s="25">
        <v>1.5782500000000001E-2</v>
      </c>
      <c r="F17" s="28">
        <v>7.1199000000000002E-3</v>
      </c>
      <c r="G17" s="23">
        <v>0.13328799999999999</v>
      </c>
    </row>
    <row r="18" spans="1:13" ht="15" customHeight="1" x14ac:dyDescent="0.2">
      <c r="A18" s="20" t="s">
        <v>12</v>
      </c>
      <c r="B18" s="23">
        <v>0.29950300000000002</v>
      </c>
      <c r="C18" s="23">
        <v>0.28551100000000001</v>
      </c>
      <c r="D18" s="28">
        <v>1.7466999999999999E-3</v>
      </c>
      <c r="E18" s="28">
        <v>2.5607999999999998E-3</v>
      </c>
      <c r="F18" s="28">
        <v>2.5052E-3</v>
      </c>
      <c r="G18" s="23">
        <v>0.36236400000000002</v>
      </c>
    </row>
    <row r="19" spans="1:13" ht="15" customHeight="1" x14ac:dyDescent="0.2">
      <c r="A19" s="20" t="s">
        <v>13</v>
      </c>
      <c r="B19" s="23">
        <v>0.57251399999999997</v>
      </c>
      <c r="C19" s="23">
        <v>0.60847899999999999</v>
      </c>
      <c r="D19" s="28">
        <v>3.6034999999999999E-3</v>
      </c>
      <c r="E19" s="28">
        <v>3.1104000000000001E-3</v>
      </c>
      <c r="F19" s="28">
        <v>8.4489000000000005E-3</v>
      </c>
      <c r="G19" s="23">
        <v>0.378272</v>
      </c>
    </row>
    <row r="20" spans="1:13" ht="15" customHeight="1" x14ac:dyDescent="0.2">
      <c r="A20" s="20" t="s">
        <v>14</v>
      </c>
      <c r="B20" s="24">
        <v>1.1005199999999999</v>
      </c>
      <c r="C20" s="24">
        <v>1.1003400000000001</v>
      </c>
      <c r="D20" s="23">
        <v>0.36973600000000001</v>
      </c>
      <c r="E20" s="23">
        <v>0.35204200000000002</v>
      </c>
      <c r="F20" s="28">
        <v>3.2908E-3</v>
      </c>
      <c r="G20" s="23">
        <v>0.38177699999999998</v>
      </c>
    </row>
    <row r="21" spans="1:13" ht="15" customHeight="1" x14ac:dyDescent="0.2">
      <c r="A21" s="20" t="s">
        <v>15</v>
      </c>
      <c r="B21" s="24">
        <v>1.92</v>
      </c>
      <c r="C21" s="24">
        <v>1.9092100000000001</v>
      </c>
      <c r="D21" s="23">
        <v>0.44266499999999998</v>
      </c>
      <c r="E21" s="23">
        <v>0.463779</v>
      </c>
      <c r="F21" s="23">
        <v>0.412852</v>
      </c>
      <c r="G21" s="23">
        <v>0.47531099999999998</v>
      </c>
    </row>
    <row r="23" spans="1:13" ht="15" customHeight="1" x14ac:dyDescent="0.2">
      <c r="A23" t="s">
        <v>16</v>
      </c>
    </row>
    <row r="24" spans="1:13" ht="15" customHeight="1" x14ac:dyDescent="0.2">
      <c r="A24" t="s">
        <v>3</v>
      </c>
    </row>
    <row r="25" spans="1:13" ht="15" customHeight="1" x14ac:dyDescent="0.2">
      <c r="A25" t="s">
        <v>6</v>
      </c>
    </row>
    <row r="26" spans="1:13" ht="15" customHeight="1" x14ac:dyDescent="0.2">
      <c r="A26" t="s">
        <v>3</v>
      </c>
    </row>
    <row r="27" spans="1:13" ht="15" customHeight="1" x14ac:dyDescent="0.2">
      <c r="A27" s="20" t="s">
        <v>100</v>
      </c>
      <c r="B27" s="22">
        <v>1</v>
      </c>
      <c r="C27" s="22">
        <v>2</v>
      </c>
      <c r="D27" s="22">
        <v>3</v>
      </c>
      <c r="E27" s="22">
        <v>4</v>
      </c>
      <c r="F27" s="22">
        <v>5</v>
      </c>
      <c r="G27" s="22">
        <v>6</v>
      </c>
      <c r="H27" s="1"/>
      <c r="I27" s="1"/>
      <c r="J27" s="1"/>
      <c r="K27" s="1"/>
      <c r="L27" s="1"/>
      <c r="M27" s="1"/>
    </row>
    <row r="28" spans="1:13" ht="15" customHeight="1" x14ac:dyDescent="0.2">
      <c r="A28" s="20" t="s">
        <v>8</v>
      </c>
      <c r="B28" s="27">
        <v>4.7390000000000003E-4</v>
      </c>
      <c r="C28" s="28">
        <v>3.9884999999999999E-3</v>
      </c>
      <c r="D28" s="35">
        <v>0</v>
      </c>
      <c r="E28" s="28">
        <v>1.2589000000000001E-3</v>
      </c>
      <c r="F28" s="28">
        <v>1.4564999999999999E-3</v>
      </c>
      <c r="G28" s="28">
        <v>1.2174E-3</v>
      </c>
    </row>
    <row r="29" spans="1:13" ht="15" customHeight="1" x14ac:dyDescent="0.2">
      <c r="A29" s="20" t="s">
        <v>9</v>
      </c>
      <c r="B29" s="28">
        <v>2.2084000000000001E-3</v>
      </c>
      <c r="C29" s="28">
        <v>1.1726E-3</v>
      </c>
      <c r="D29" s="28">
        <v>4.3753000000000004E-3</v>
      </c>
      <c r="E29" s="28">
        <v>2.6451999999999999E-3</v>
      </c>
      <c r="F29" s="28">
        <v>2.9093999999999999E-3</v>
      </c>
      <c r="G29" s="22">
        <v>-3.8999999999999999E-5</v>
      </c>
    </row>
    <row r="30" spans="1:13" ht="15" customHeight="1" x14ac:dyDescent="0.2">
      <c r="A30" s="20" t="s">
        <v>10</v>
      </c>
      <c r="B30" s="28">
        <v>4.5798000000000002E-3</v>
      </c>
      <c r="C30" s="28">
        <v>3.1202000000000001E-3</v>
      </c>
      <c r="D30" s="27">
        <v>5.2289999999999997E-4</v>
      </c>
      <c r="E30" s="27">
        <v>9.9120000000000002E-4</v>
      </c>
      <c r="F30" s="28">
        <v>1.1632999999999999E-3</v>
      </c>
      <c r="G30" s="27">
        <v>-5.2769999999999998E-4</v>
      </c>
    </row>
    <row r="31" spans="1:13" ht="15" customHeight="1" x14ac:dyDescent="0.2">
      <c r="A31" s="20" t="s">
        <v>11</v>
      </c>
      <c r="B31" s="28">
        <v>3.6254E-3</v>
      </c>
      <c r="C31" s="28">
        <v>1.0518000000000001E-3</v>
      </c>
      <c r="D31" s="28">
        <v>1.9319999999999999E-3</v>
      </c>
      <c r="E31" s="25">
        <v>1.4321E-2</v>
      </c>
      <c r="F31" s="28">
        <v>3.7274999999999999E-3</v>
      </c>
      <c r="G31" s="27">
        <v>8.476E-4</v>
      </c>
    </row>
    <row r="32" spans="1:13" ht="15" customHeight="1" x14ac:dyDescent="0.2">
      <c r="A32" s="20" t="s">
        <v>12</v>
      </c>
      <c r="B32" s="27">
        <v>5.6400000000000005E-4</v>
      </c>
      <c r="C32" s="27">
        <v>5.7260000000000004E-4</v>
      </c>
      <c r="D32" s="27">
        <v>8.2249999999999999E-4</v>
      </c>
      <c r="E32" s="28">
        <v>1.1257999999999999E-3</v>
      </c>
      <c r="F32" s="27">
        <v>4.5980000000000001E-4</v>
      </c>
      <c r="G32" s="27">
        <v>-3.0130000000000001E-4</v>
      </c>
    </row>
    <row r="33" spans="1:13" ht="15" customHeight="1" x14ac:dyDescent="0.2">
      <c r="A33" s="20" t="s">
        <v>13</v>
      </c>
      <c r="B33" s="28">
        <v>2.0891999999999998E-3</v>
      </c>
      <c r="C33" s="25">
        <v>1.8148399999999999E-2</v>
      </c>
      <c r="D33" s="28">
        <v>2.8823E-3</v>
      </c>
      <c r="E33" s="28">
        <v>2.3871000000000001E-3</v>
      </c>
      <c r="F33" s="28">
        <v>3.8560999999999999E-3</v>
      </c>
      <c r="G33" s="28">
        <v>1.3856999999999999E-3</v>
      </c>
    </row>
    <row r="34" spans="1:13" ht="15" customHeight="1" x14ac:dyDescent="0.2">
      <c r="A34" s="20" t="s">
        <v>14</v>
      </c>
      <c r="B34" s="28">
        <v>7.3058000000000003E-3</v>
      </c>
      <c r="C34" s="28">
        <v>4.1641999999999998E-3</v>
      </c>
      <c r="D34" s="25">
        <v>1.0383699999999999E-2</v>
      </c>
      <c r="E34" s="28">
        <v>7.8513999999999997E-3</v>
      </c>
      <c r="F34" s="28">
        <v>1.7255E-3</v>
      </c>
      <c r="G34" s="28">
        <v>2.6247000000000002E-3</v>
      </c>
    </row>
    <row r="35" spans="1:13" ht="15" customHeight="1" x14ac:dyDescent="0.2">
      <c r="A35" s="20" t="s">
        <v>15</v>
      </c>
      <c r="B35" s="28">
        <v>4.4302999999999999E-3</v>
      </c>
      <c r="C35" s="27">
        <v>2.251E-4</v>
      </c>
      <c r="D35" s="28">
        <v>2.7030000000000001E-3</v>
      </c>
      <c r="E35" s="28">
        <v>3.1765999999999999E-3</v>
      </c>
      <c r="F35" s="28">
        <v>1.4329E-3</v>
      </c>
      <c r="G35" s="25">
        <v>1.63844E-2</v>
      </c>
    </row>
    <row r="37" spans="1:13" ht="15" customHeight="1" x14ac:dyDescent="0.2">
      <c r="A37" s="20" t="s">
        <v>17</v>
      </c>
      <c r="B37" s="22">
        <v>1</v>
      </c>
      <c r="C37" s="22">
        <v>2</v>
      </c>
      <c r="D37" s="22">
        <v>3</v>
      </c>
      <c r="E37" s="22">
        <v>4</v>
      </c>
      <c r="F37" s="22">
        <v>5</v>
      </c>
      <c r="G37" s="22">
        <v>6</v>
      </c>
      <c r="H37" s="1"/>
      <c r="I37" s="1"/>
      <c r="J37" s="1"/>
      <c r="K37" s="1"/>
      <c r="L37" s="1"/>
      <c r="M37" s="1"/>
    </row>
    <row r="38" spans="1:13" ht="15" customHeight="1" x14ac:dyDescent="0.2">
      <c r="A38" s="20" t="s">
        <v>8</v>
      </c>
      <c r="B38" s="20" t="s">
        <v>235</v>
      </c>
      <c r="C38" s="20" t="s">
        <v>235</v>
      </c>
      <c r="D38" s="20" t="s">
        <v>19</v>
      </c>
      <c r="E38" s="21" t="s">
        <v>251</v>
      </c>
      <c r="F38" s="21" t="s">
        <v>244</v>
      </c>
      <c r="G38" s="21" t="s">
        <v>243</v>
      </c>
    </row>
    <row r="39" spans="1:13" ht="12.75" x14ac:dyDescent="0.2">
      <c r="A39" s="20" t="s">
        <v>9</v>
      </c>
      <c r="B39" s="20" t="s">
        <v>234</v>
      </c>
      <c r="C39" s="20" t="s">
        <v>234</v>
      </c>
      <c r="D39" s="20" t="s">
        <v>236</v>
      </c>
      <c r="E39" s="20" t="s">
        <v>236</v>
      </c>
      <c r="F39" s="21" t="s">
        <v>245</v>
      </c>
      <c r="G39" s="21" t="s">
        <v>245</v>
      </c>
    </row>
    <row r="40" spans="1:13" ht="12.75" x14ac:dyDescent="0.2">
      <c r="A40" s="20" t="s">
        <v>10</v>
      </c>
      <c r="B40" s="20" t="s">
        <v>233</v>
      </c>
      <c r="C40" s="20" t="s">
        <v>233</v>
      </c>
      <c r="D40" s="20" t="s">
        <v>237</v>
      </c>
      <c r="E40" s="20" t="s">
        <v>237</v>
      </c>
      <c r="F40" s="20" t="s">
        <v>246</v>
      </c>
      <c r="G40" s="20" t="s">
        <v>272</v>
      </c>
    </row>
    <row r="41" spans="1:13" ht="12.75" x14ac:dyDescent="0.2">
      <c r="A41" s="20" t="s">
        <v>11</v>
      </c>
      <c r="B41" s="20" t="s">
        <v>232</v>
      </c>
      <c r="C41" s="20" t="s">
        <v>232</v>
      </c>
      <c r="D41" s="20" t="s">
        <v>238</v>
      </c>
      <c r="E41" s="20" t="s">
        <v>238</v>
      </c>
      <c r="F41" s="20" t="s">
        <v>247</v>
      </c>
      <c r="G41" s="20" t="s">
        <v>272</v>
      </c>
    </row>
    <row r="42" spans="1:13" ht="12.75" x14ac:dyDescent="0.2">
      <c r="A42" s="20" t="s">
        <v>12</v>
      </c>
      <c r="B42" s="20" t="s">
        <v>231</v>
      </c>
      <c r="C42" s="20" t="s">
        <v>231</v>
      </c>
      <c r="D42" s="20" t="s">
        <v>239</v>
      </c>
      <c r="E42" s="20" t="s">
        <v>239</v>
      </c>
      <c r="F42" s="20" t="s">
        <v>248</v>
      </c>
      <c r="G42" s="20" t="s">
        <v>271</v>
      </c>
    </row>
    <row r="43" spans="1:13" ht="12.75" x14ac:dyDescent="0.2">
      <c r="A43" s="20" t="s">
        <v>13</v>
      </c>
      <c r="B43" s="20" t="s">
        <v>230</v>
      </c>
      <c r="C43" s="20" t="s">
        <v>230</v>
      </c>
      <c r="D43" s="20" t="s">
        <v>240</v>
      </c>
      <c r="E43" s="20" t="s">
        <v>240</v>
      </c>
      <c r="F43" s="20" t="s">
        <v>249</v>
      </c>
      <c r="G43" s="20" t="s">
        <v>271</v>
      </c>
    </row>
    <row r="44" spans="1:13" ht="12.75" x14ac:dyDescent="0.2">
      <c r="A44" s="20" t="s">
        <v>14</v>
      </c>
      <c r="B44" s="20" t="s">
        <v>228</v>
      </c>
      <c r="C44" s="20" t="s">
        <v>228</v>
      </c>
      <c r="D44" s="21" t="s">
        <v>241</v>
      </c>
      <c r="E44" s="20" t="s">
        <v>241</v>
      </c>
      <c r="F44" s="20" t="s">
        <v>250</v>
      </c>
      <c r="G44" s="21" t="s">
        <v>268</v>
      </c>
    </row>
    <row r="45" spans="1:13" ht="12.75" x14ac:dyDescent="0.2">
      <c r="A45" s="20" t="s">
        <v>15</v>
      </c>
      <c r="B45" s="20" t="s">
        <v>229</v>
      </c>
      <c r="C45" s="20" t="s">
        <v>229</v>
      </c>
      <c r="D45" s="21" t="s">
        <v>242</v>
      </c>
      <c r="E45" s="20" t="s">
        <v>242</v>
      </c>
      <c r="F45" s="21" t="s">
        <v>269</v>
      </c>
      <c r="G45" s="21" t="s">
        <v>270</v>
      </c>
    </row>
    <row r="47" spans="1:13" ht="12.75" x14ac:dyDescent="0.2">
      <c r="A47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M106"/>
  <sheetViews>
    <sheetView topLeftCell="A71" workbookViewId="0">
      <selection activeCell="O84" sqref="O84"/>
    </sheetView>
  </sheetViews>
  <sheetFormatPr defaultColWidth="9.140625" defaultRowHeight="15" customHeight="1" x14ac:dyDescent="0.2"/>
  <cols>
    <col min="1" max="1" width="10.5703125" customWidth="1"/>
    <col min="2" max="7" width="19.8554687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102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103</v>
      </c>
    </row>
    <row r="38" spans="1:7" ht="15" customHeight="1" x14ac:dyDescent="0.2">
      <c r="A38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  <c r="B40" s="8">
        <v>4.4494699999999996E-3</v>
      </c>
    </row>
    <row r="41" spans="1:7" ht="12.75" x14ac:dyDescent="0.2">
      <c r="A41" t="s">
        <v>69</v>
      </c>
      <c r="B41" s="3">
        <v>1.0760000000000001</v>
      </c>
    </row>
    <row r="42" spans="1:7" ht="12.75" x14ac:dyDescent="0.2">
      <c r="A42" t="s">
        <v>70</v>
      </c>
      <c r="B42" s="4">
        <v>47.380699999999997</v>
      </c>
    </row>
    <row r="43" spans="1:7" ht="12.75" x14ac:dyDescent="0.2">
      <c r="A43" t="s">
        <v>71</v>
      </c>
      <c r="B43" s="5">
        <v>5.7134099999999997</v>
      </c>
    </row>
    <row r="44" spans="1:7" ht="12.75" x14ac:dyDescent="0.2"/>
    <row r="45" spans="1:7" ht="12.75" x14ac:dyDescent="0.2">
      <c r="A45" t="s">
        <v>72</v>
      </c>
    </row>
    <row r="46" spans="1:7" ht="12.75" x14ac:dyDescent="0.2">
      <c r="A46" t="s">
        <v>3</v>
      </c>
    </row>
    <row r="47" spans="1:7" ht="12.75" x14ac:dyDescent="0.2">
      <c r="A47" t="s">
        <v>73</v>
      </c>
      <c r="B47" t="s">
        <v>17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</row>
    <row r="48" spans="1:7" ht="12.75" x14ac:dyDescent="0.2">
      <c r="A48" t="s">
        <v>79</v>
      </c>
      <c r="B48" t="s">
        <v>53</v>
      </c>
      <c r="C48" s="4">
        <v>25</v>
      </c>
      <c r="D48" s="5">
        <v>1.9146000000000001</v>
      </c>
      <c r="E48" s="6">
        <v>0.39850000000000002</v>
      </c>
      <c r="F48" s="5">
        <v>1.9140600000000001</v>
      </c>
      <c r="G48" s="7">
        <v>5.4007999999999997E-4</v>
      </c>
    </row>
    <row r="49" spans="1:7" ht="12.75" x14ac:dyDescent="0.2">
      <c r="A49" t="s">
        <v>80</v>
      </c>
      <c r="B49" t="s">
        <v>53</v>
      </c>
      <c r="C49" s="4">
        <v>25</v>
      </c>
      <c r="D49" s="5">
        <v>1.92</v>
      </c>
      <c r="F49" s="5">
        <v>1.9140600000000001</v>
      </c>
      <c r="G49" s="8">
        <v>5.9350799999999997E-3</v>
      </c>
    </row>
    <row r="50" spans="1:7" ht="12.75" x14ac:dyDescent="0.2">
      <c r="A50" t="s">
        <v>81</v>
      </c>
      <c r="B50" t="s">
        <v>53</v>
      </c>
      <c r="C50" s="4">
        <v>25</v>
      </c>
      <c r="D50" s="5">
        <v>1.9092100000000001</v>
      </c>
      <c r="F50" s="5">
        <v>1.9140600000000001</v>
      </c>
      <c r="G50" s="8">
        <v>-4.8549200000000004E-3</v>
      </c>
    </row>
    <row r="51" spans="1:7" ht="12.75" x14ac:dyDescent="0.2">
      <c r="A51" t="s">
        <v>79</v>
      </c>
      <c r="B51" t="s">
        <v>48</v>
      </c>
      <c r="C51" s="4">
        <v>12.5</v>
      </c>
      <c r="D51" s="5">
        <v>1.10043</v>
      </c>
      <c r="E51" s="2">
        <v>1.1566399999999999E-2</v>
      </c>
      <c r="F51" s="5">
        <v>1.1034999999999999</v>
      </c>
      <c r="G51" s="8">
        <v>-3.0759799999999999E-3</v>
      </c>
    </row>
    <row r="52" spans="1:7" ht="12.75" x14ac:dyDescent="0.2">
      <c r="A52" t="s">
        <v>82</v>
      </c>
      <c r="B52" t="s">
        <v>48</v>
      </c>
      <c r="C52" s="4">
        <v>12.5</v>
      </c>
      <c r="D52" s="5">
        <v>1.1005199999999999</v>
      </c>
      <c r="F52" s="5">
        <v>1.1034999999999999</v>
      </c>
      <c r="G52" s="8">
        <v>-2.9859800000000001E-3</v>
      </c>
    </row>
    <row r="53" spans="1:7" ht="12.75" x14ac:dyDescent="0.2">
      <c r="A53" t="s">
        <v>83</v>
      </c>
      <c r="B53" t="s">
        <v>48</v>
      </c>
      <c r="C53" s="4">
        <v>12.5</v>
      </c>
      <c r="D53" s="5">
        <v>1.1003400000000001</v>
      </c>
      <c r="F53" s="5">
        <v>1.1034999999999999</v>
      </c>
      <c r="G53" s="8">
        <v>-3.1659800000000001E-3</v>
      </c>
    </row>
    <row r="54" spans="1:7" ht="12.75" x14ac:dyDescent="0.2">
      <c r="A54" t="s">
        <v>79</v>
      </c>
      <c r="B54" t="s">
        <v>43</v>
      </c>
      <c r="C54" s="5">
        <v>6.25</v>
      </c>
      <c r="D54" s="6">
        <v>0.59049700000000005</v>
      </c>
      <c r="E54" s="5">
        <v>4.3067299999999999</v>
      </c>
      <c r="F54" s="6">
        <v>0.58447099999999996</v>
      </c>
      <c r="G54" s="8">
        <v>6.0255200000000004E-3</v>
      </c>
    </row>
    <row r="55" spans="1:7" ht="12.75" x14ac:dyDescent="0.2">
      <c r="A55" t="s">
        <v>84</v>
      </c>
      <c r="B55" t="s">
        <v>43</v>
      </c>
      <c r="C55" s="5">
        <v>6.25</v>
      </c>
      <c r="D55" s="6">
        <v>0.57251399999999997</v>
      </c>
      <c r="F55" s="6">
        <v>0.58447099999999996</v>
      </c>
      <c r="G55" s="2">
        <v>-1.1957000000000001E-2</v>
      </c>
    </row>
    <row r="56" spans="1:7" ht="12.75" x14ac:dyDescent="0.2">
      <c r="A56" t="s">
        <v>85</v>
      </c>
      <c r="B56" t="s">
        <v>43</v>
      </c>
      <c r="C56" s="5">
        <v>6.25</v>
      </c>
      <c r="D56" s="6">
        <v>0.60847899999999999</v>
      </c>
      <c r="F56" s="6">
        <v>0.58447099999999996</v>
      </c>
      <c r="G56" s="2">
        <v>2.4008000000000002E-2</v>
      </c>
    </row>
    <row r="57" spans="1:7" ht="12.75" x14ac:dyDescent="0.2">
      <c r="A57" t="s">
        <v>79</v>
      </c>
      <c r="B57" t="s">
        <v>38</v>
      </c>
      <c r="C57" s="5">
        <v>3.125</v>
      </c>
      <c r="D57" s="6">
        <v>0.29250700000000002</v>
      </c>
      <c r="E57" s="5">
        <v>3.3824299999999998</v>
      </c>
      <c r="F57" s="6">
        <v>0.29509999999999997</v>
      </c>
      <c r="G57" s="8">
        <v>-2.5927599999999999E-3</v>
      </c>
    </row>
    <row r="58" spans="1:7" ht="12.75" x14ac:dyDescent="0.2">
      <c r="A58" t="s">
        <v>86</v>
      </c>
      <c r="B58" t="s">
        <v>38</v>
      </c>
      <c r="C58" s="5">
        <v>3.125</v>
      </c>
      <c r="D58" s="6">
        <v>0.29950300000000002</v>
      </c>
      <c r="F58" s="6">
        <v>0.29509999999999997</v>
      </c>
      <c r="G58" s="8">
        <v>4.4032400000000001E-3</v>
      </c>
    </row>
    <row r="59" spans="1:7" ht="12.75" x14ac:dyDescent="0.2">
      <c r="A59" t="s">
        <v>87</v>
      </c>
      <c r="B59" t="s">
        <v>38</v>
      </c>
      <c r="C59" s="5">
        <v>3.125</v>
      </c>
      <c r="D59" s="6">
        <v>0.28551100000000001</v>
      </c>
      <c r="F59" s="6">
        <v>0.29509999999999997</v>
      </c>
      <c r="G59" s="8">
        <v>-9.58876E-3</v>
      </c>
    </row>
    <row r="60" spans="1:7" ht="12.75" x14ac:dyDescent="0.2">
      <c r="A60" t="s">
        <v>79</v>
      </c>
      <c r="B60" t="s">
        <v>33</v>
      </c>
      <c r="C60" s="5">
        <v>1.5625</v>
      </c>
      <c r="D60" s="6">
        <v>0.14283000000000001</v>
      </c>
      <c r="E60" s="6">
        <v>0.545072</v>
      </c>
      <c r="F60" s="6">
        <v>0.14610799999999999</v>
      </c>
      <c r="G60" s="8">
        <v>-3.2782200000000001E-3</v>
      </c>
    </row>
    <row r="61" spans="1:7" ht="12.75" x14ac:dyDescent="0.2">
      <c r="A61" t="s">
        <v>88</v>
      </c>
      <c r="B61" t="s">
        <v>33</v>
      </c>
      <c r="C61" s="5">
        <v>1.5625</v>
      </c>
      <c r="D61" s="6">
        <v>0.14227899999999999</v>
      </c>
      <c r="F61" s="6">
        <v>0.14610799999999999</v>
      </c>
      <c r="G61" s="8">
        <v>-3.8287199999999999E-3</v>
      </c>
    </row>
    <row r="62" spans="1:7" ht="12.75" x14ac:dyDescent="0.2">
      <c r="A62" t="s">
        <v>89</v>
      </c>
      <c r="B62" t="s">
        <v>33</v>
      </c>
      <c r="C62" s="5">
        <v>1.5625</v>
      </c>
      <c r="D62" s="6">
        <v>0.14338000000000001</v>
      </c>
      <c r="F62" s="6">
        <v>0.14610799999999999</v>
      </c>
      <c r="G62" s="8">
        <v>-2.7277199999999999E-3</v>
      </c>
    </row>
    <row r="63" spans="1:7" ht="12.75" x14ac:dyDescent="0.2">
      <c r="A63" t="s">
        <v>79</v>
      </c>
      <c r="B63" t="s">
        <v>28</v>
      </c>
      <c r="C63" s="6">
        <v>0.78125</v>
      </c>
      <c r="D63" s="2">
        <v>7.33177E-2</v>
      </c>
      <c r="E63" s="5">
        <v>6.0229400000000002</v>
      </c>
      <c r="F63" s="2">
        <v>7.2531899999999996E-2</v>
      </c>
      <c r="G63" s="7">
        <v>7.8582399999999996E-4</v>
      </c>
    </row>
    <row r="64" spans="1:7" ht="12.75" x14ac:dyDescent="0.2">
      <c r="A64" t="s">
        <v>90</v>
      </c>
      <c r="B64" t="s">
        <v>28</v>
      </c>
      <c r="C64" s="6">
        <v>0.78125</v>
      </c>
      <c r="D64" s="2">
        <v>7.0195199999999999E-2</v>
      </c>
      <c r="F64" s="2">
        <v>7.2531899999999996E-2</v>
      </c>
      <c r="G64" s="8">
        <v>-2.3366799999999998E-3</v>
      </c>
    </row>
    <row r="65" spans="1:13" ht="12.75" x14ac:dyDescent="0.2">
      <c r="A65" t="s">
        <v>91</v>
      </c>
      <c r="B65" t="s">
        <v>28</v>
      </c>
      <c r="C65" s="6">
        <v>0.78125</v>
      </c>
      <c r="D65" s="2">
        <v>7.64402E-2</v>
      </c>
      <c r="F65" s="2">
        <v>7.2531899999999996E-2</v>
      </c>
      <c r="G65" s="8">
        <v>3.9083199999999998E-3</v>
      </c>
    </row>
    <row r="66" spans="1:13" ht="12.75" x14ac:dyDescent="0.2">
      <c r="A66" t="s">
        <v>79</v>
      </c>
      <c r="B66" t="s">
        <v>23</v>
      </c>
      <c r="C66" s="6">
        <v>0.390625</v>
      </c>
      <c r="D66" s="2">
        <v>3.6606899999999998E-2</v>
      </c>
      <c r="E66" s="5">
        <v>4.2547899999999998</v>
      </c>
      <c r="F66" s="2">
        <v>3.6947500000000001E-2</v>
      </c>
      <c r="G66" s="7">
        <v>-3.4060600000000003E-4</v>
      </c>
    </row>
    <row r="67" spans="1:13" ht="12.75" x14ac:dyDescent="0.2">
      <c r="A67" t="s">
        <v>92</v>
      </c>
      <c r="B67" t="s">
        <v>23</v>
      </c>
      <c r="C67" s="6">
        <v>0.390625</v>
      </c>
      <c r="D67" s="2">
        <v>3.5505500000000002E-2</v>
      </c>
      <c r="F67" s="2">
        <v>3.6947500000000001E-2</v>
      </c>
      <c r="G67" s="8">
        <v>-1.4419599999999999E-3</v>
      </c>
    </row>
    <row r="68" spans="1:13" ht="12.75" x14ac:dyDescent="0.2">
      <c r="A68" t="s">
        <v>93</v>
      </c>
      <c r="B68" t="s">
        <v>23</v>
      </c>
      <c r="C68" s="6">
        <v>0.390625</v>
      </c>
      <c r="D68" s="2">
        <v>3.7708199999999997E-2</v>
      </c>
      <c r="F68" s="2">
        <v>3.6947500000000001E-2</v>
      </c>
      <c r="G68" s="7">
        <v>7.6074400000000005E-4</v>
      </c>
    </row>
    <row r="69" spans="1:13" ht="12.75" x14ac:dyDescent="0.2">
      <c r="A69" t="s">
        <v>79</v>
      </c>
      <c r="B69" t="s">
        <v>18</v>
      </c>
      <c r="C69" s="6">
        <v>0.19531299999999999</v>
      </c>
      <c r="D69" s="2">
        <v>2.1846999999999998E-2</v>
      </c>
      <c r="E69" s="4">
        <v>18.114100000000001</v>
      </c>
      <c r="F69" s="2">
        <v>1.9910899999999999E-2</v>
      </c>
      <c r="G69" s="8">
        <v>1.93614E-3</v>
      </c>
    </row>
    <row r="70" spans="1:13" ht="12.75" x14ac:dyDescent="0.2">
      <c r="A70" t="s">
        <v>94</v>
      </c>
      <c r="B70" t="s">
        <v>18</v>
      </c>
      <c r="C70" s="6">
        <v>0.19531299999999999</v>
      </c>
      <c r="D70" s="2">
        <v>1.9048699999999998E-2</v>
      </c>
      <c r="F70" s="2">
        <v>1.9910899999999999E-2</v>
      </c>
      <c r="G70" s="7">
        <v>-8.6215700000000001E-4</v>
      </c>
    </row>
    <row r="71" spans="1:13" ht="12.75" x14ac:dyDescent="0.2">
      <c r="A71" t="s">
        <v>95</v>
      </c>
      <c r="B71" t="s">
        <v>18</v>
      </c>
      <c r="C71" s="6">
        <v>0.19531299999999999</v>
      </c>
      <c r="D71" s="2">
        <v>2.4645299999999998E-2</v>
      </c>
      <c r="F71" s="2">
        <v>1.9910899999999999E-2</v>
      </c>
      <c r="G71" s="8">
        <v>4.7344400000000003E-3</v>
      </c>
    </row>
    <row r="72" spans="1:13" ht="12.75" x14ac:dyDescent="0.2"/>
    <row r="73" spans="1:13" ht="12.75" x14ac:dyDescent="0.2"/>
    <row r="74" spans="1:13" ht="12.75" x14ac:dyDescent="0.2">
      <c r="A74" t="s">
        <v>6</v>
      </c>
    </row>
    <row r="75" spans="1:13" ht="12.75" x14ac:dyDescent="0.2">
      <c r="A75" t="s">
        <v>3</v>
      </c>
    </row>
    <row r="76" spans="1:13" ht="12.75" x14ac:dyDescent="0.2">
      <c r="A76" s="20" t="s">
        <v>96</v>
      </c>
      <c r="B76" s="22">
        <v>1</v>
      </c>
      <c r="C76" s="22">
        <v>2</v>
      </c>
      <c r="D76" s="22">
        <v>3</v>
      </c>
      <c r="E76" s="22">
        <v>4</v>
      </c>
      <c r="F76" s="22">
        <v>5</v>
      </c>
      <c r="G76" s="22">
        <v>6</v>
      </c>
      <c r="H76" s="1"/>
      <c r="I76" s="1"/>
      <c r="J76" s="1"/>
      <c r="K76" s="1"/>
      <c r="L76" s="1"/>
      <c r="M76" s="1"/>
    </row>
    <row r="77" spans="1:13" ht="12.75" x14ac:dyDescent="0.2">
      <c r="A77" s="20" t="s">
        <v>8</v>
      </c>
      <c r="B77" s="25">
        <v>1.9048699999999998E-2</v>
      </c>
      <c r="C77" s="25">
        <v>2.4645299999999998E-2</v>
      </c>
      <c r="D77" s="20"/>
      <c r="E77" s="23">
        <v>0.40825099999999998</v>
      </c>
      <c r="F77" s="23">
        <v>0.40990799999999999</v>
      </c>
      <c r="G77" s="23">
        <v>0.41307300000000002</v>
      </c>
    </row>
    <row r="78" spans="1:13" ht="12.75" x14ac:dyDescent="0.2">
      <c r="A78" s="20" t="s">
        <v>9</v>
      </c>
      <c r="B78" s="25">
        <v>3.5505500000000002E-2</v>
      </c>
      <c r="C78" s="25">
        <v>3.7708199999999997E-2</v>
      </c>
      <c r="D78" s="28">
        <v>4.3014000000000004E-3</v>
      </c>
      <c r="E78" s="28">
        <v>2.4710999999999999E-3</v>
      </c>
      <c r="F78" s="23">
        <v>0.43013400000000002</v>
      </c>
      <c r="G78" s="23">
        <v>0.39733400000000002</v>
      </c>
    </row>
    <row r="79" spans="1:13" ht="12.75" x14ac:dyDescent="0.2">
      <c r="A79" s="20" t="s">
        <v>10</v>
      </c>
      <c r="B79" s="25">
        <v>7.0195199999999999E-2</v>
      </c>
      <c r="C79" s="25">
        <v>7.64402E-2</v>
      </c>
      <c r="D79" s="27">
        <v>6.2509999999999996E-4</v>
      </c>
      <c r="E79" s="28">
        <v>1.0882000000000001E-3</v>
      </c>
      <c r="F79" s="28">
        <v>6.5890999999999996E-3</v>
      </c>
      <c r="G79" s="23">
        <v>0.12928200000000001</v>
      </c>
    </row>
    <row r="80" spans="1:13" ht="12.75" x14ac:dyDescent="0.2">
      <c r="A80" s="20" t="s">
        <v>11</v>
      </c>
      <c r="B80" s="23">
        <v>0.14227899999999999</v>
      </c>
      <c r="C80" s="23">
        <v>0.14338000000000001</v>
      </c>
      <c r="D80" s="27">
        <v>8.2950000000000005E-4</v>
      </c>
      <c r="E80" s="25">
        <v>1.5782500000000001E-2</v>
      </c>
      <c r="F80" s="28">
        <v>7.1199000000000002E-3</v>
      </c>
      <c r="G80" s="23">
        <v>0.13328799999999999</v>
      </c>
    </row>
    <row r="81" spans="1:13" ht="12.75" x14ac:dyDescent="0.2">
      <c r="A81" s="20" t="s">
        <v>12</v>
      </c>
      <c r="B81" s="23">
        <v>0.29950300000000002</v>
      </c>
      <c r="C81" s="23">
        <v>0.28551100000000001</v>
      </c>
      <c r="D81" s="28">
        <v>1.7466999999999999E-3</v>
      </c>
      <c r="E81" s="28">
        <v>2.5607999999999998E-3</v>
      </c>
      <c r="F81" s="28">
        <v>2.5052E-3</v>
      </c>
      <c r="G81" s="23">
        <v>0.36236400000000002</v>
      </c>
    </row>
    <row r="82" spans="1:13" ht="12.75" x14ac:dyDescent="0.2">
      <c r="A82" s="20" t="s">
        <v>13</v>
      </c>
      <c r="B82" s="23">
        <v>0.57251399999999997</v>
      </c>
      <c r="C82" s="23">
        <v>0.60847899999999999</v>
      </c>
      <c r="D82" s="28">
        <v>3.6034999999999999E-3</v>
      </c>
      <c r="E82" s="28">
        <v>3.1104000000000001E-3</v>
      </c>
      <c r="F82" s="28">
        <v>8.4489000000000005E-3</v>
      </c>
      <c r="G82" s="23">
        <v>0.378272</v>
      </c>
    </row>
    <row r="83" spans="1:13" ht="12.75" x14ac:dyDescent="0.2">
      <c r="A83" s="20" t="s">
        <v>14</v>
      </c>
      <c r="B83" s="24">
        <v>1.1005199999999999</v>
      </c>
      <c r="C83" s="24">
        <v>1.1003400000000001</v>
      </c>
      <c r="D83" s="23">
        <v>0.36973600000000001</v>
      </c>
      <c r="E83" s="23">
        <v>0.35204200000000002</v>
      </c>
      <c r="F83" s="28">
        <v>3.2908E-3</v>
      </c>
      <c r="G83" s="23">
        <v>0.38177699999999998</v>
      </c>
    </row>
    <row r="84" spans="1:13" ht="12.75" x14ac:dyDescent="0.2">
      <c r="A84" s="20" t="s">
        <v>15</v>
      </c>
      <c r="B84" s="24">
        <v>1.92</v>
      </c>
      <c r="C84" s="24">
        <v>1.9092100000000001</v>
      </c>
      <c r="D84" s="23">
        <v>0.44266499999999998</v>
      </c>
      <c r="E84" s="23">
        <v>0.463779</v>
      </c>
      <c r="F84" s="23">
        <v>0.412852</v>
      </c>
      <c r="G84" s="23">
        <v>0.47531099999999998</v>
      </c>
    </row>
    <row r="85" spans="1:13" ht="12.75" x14ac:dyDescent="0.2"/>
    <row r="86" spans="1:13" ht="12.75" x14ac:dyDescent="0.2">
      <c r="A86" s="20" t="s">
        <v>74</v>
      </c>
      <c r="B86" s="22">
        <v>1</v>
      </c>
      <c r="C86" s="22">
        <v>2</v>
      </c>
      <c r="D86" s="22">
        <v>3</v>
      </c>
      <c r="E86" s="22">
        <v>4</v>
      </c>
      <c r="F86" s="22">
        <v>5</v>
      </c>
      <c r="G86" s="22">
        <v>6</v>
      </c>
      <c r="H86" s="1"/>
      <c r="I86" s="1"/>
      <c r="J86" s="1"/>
      <c r="K86" s="1"/>
      <c r="L86" s="1"/>
      <c r="M86" s="1"/>
    </row>
    <row r="87" spans="1:13" ht="12.75" x14ac:dyDescent="0.2">
      <c r="A87" s="20" t="s">
        <v>8</v>
      </c>
      <c r="B87" s="23">
        <v>0.185144</v>
      </c>
      <c r="C87" s="23">
        <v>0.25054399999999999</v>
      </c>
      <c r="D87" s="20"/>
      <c r="E87" s="24">
        <v>4.32592</v>
      </c>
      <c r="F87" s="24">
        <v>4.34368</v>
      </c>
      <c r="G87" s="24">
        <v>4.3776099999999998</v>
      </c>
    </row>
    <row r="88" spans="1:13" ht="12.75" x14ac:dyDescent="0.2">
      <c r="A88" s="20" t="s">
        <v>9</v>
      </c>
      <c r="B88" s="23">
        <v>0.37440299999999999</v>
      </c>
      <c r="C88" s="23">
        <v>0.39916600000000002</v>
      </c>
      <c r="D88" s="20" t="s">
        <v>97</v>
      </c>
      <c r="E88" s="20" t="s">
        <v>97</v>
      </c>
      <c r="F88" s="24">
        <v>4.5608700000000004</v>
      </c>
      <c r="G88" s="24">
        <v>4.2090800000000002</v>
      </c>
    </row>
    <row r="89" spans="1:13" ht="12.75" x14ac:dyDescent="0.2">
      <c r="A89" s="20" t="s">
        <v>10</v>
      </c>
      <c r="B89" s="23">
        <v>0.75600900000000004</v>
      </c>
      <c r="C89" s="23">
        <v>0.82337800000000005</v>
      </c>
      <c r="D89" s="20" t="s">
        <v>97</v>
      </c>
      <c r="E89" s="20" t="s">
        <v>97</v>
      </c>
      <c r="F89" s="25">
        <v>3.1013200000000001E-2</v>
      </c>
      <c r="G89" s="24">
        <v>1.38537</v>
      </c>
    </row>
    <row r="90" spans="1:13" ht="12.75" x14ac:dyDescent="0.2">
      <c r="A90" s="20" t="s">
        <v>11</v>
      </c>
      <c r="B90" s="24">
        <v>1.52224</v>
      </c>
      <c r="C90" s="24">
        <v>1.53382</v>
      </c>
      <c r="D90" s="20" t="s">
        <v>97</v>
      </c>
      <c r="E90" s="23">
        <v>0.14623900000000001</v>
      </c>
      <c r="F90" s="25">
        <v>3.81091E-2</v>
      </c>
      <c r="G90" s="24">
        <v>1.4276</v>
      </c>
    </row>
    <row r="91" spans="1:13" ht="12.75" x14ac:dyDescent="0.2">
      <c r="A91" s="20" t="s">
        <v>12</v>
      </c>
      <c r="B91" s="24">
        <v>3.17137</v>
      </c>
      <c r="C91" s="24">
        <v>3.0240999999999998</v>
      </c>
      <c r="D91" s="20" t="s">
        <v>97</v>
      </c>
      <c r="E91" s="20" t="s">
        <v>97</v>
      </c>
      <c r="F91" s="20" t="s">
        <v>97</v>
      </c>
      <c r="G91" s="24">
        <v>3.8363200000000002</v>
      </c>
    </row>
    <row r="92" spans="1:13" ht="12.75" x14ac:dyDescent="0.2">
      <c r="A92" s="20" t="s">
        <v>13</v>
      </c>
      <c r="B92" s="24">
        <v>6.1169200000000004</v>
      </c>
      <c r="C92" s="24">
        <v>6.51844</v>
      </c>
      <c r="D92" s="20" t="s">
        <v>97</v>
      </c>
      <c r="E92" s="20" t="s">
        <v>97</v>
      </c>
      <c r="F92" s="25">
        <v>5.5481599999999999E-2</v>
      </c>
      <c r="G92" s="24">
        <v>4.0056099999999999</v>
      </c>
    </row>
    <row r="93" spans="1:13" ht="12.75" x14ac:dyDescent="0.2">
      <c r="A93" s="20" t="s">
        <v>14</v>
      </c>
      <c r="B93" s="26">
        <v>12.460900000000001</v>
      </c>
      <c r="C93" s="26">
        <v>12.458600000000001</v>
      </c>
      <c r="D93" s="24">
        <v>3.9147099999999999</v>
      </c>
      <c r="E93" s="24">
        <v>3.7267100000000002</v>
      </c>
      <c r="F93" s="20" t="s">
        <v>97</v>
      </c>
      <c r="G93" s="24">
        <v>4.0429700000000004</v>
      </c>
    </row>
    <row r="94" spans="1:13" ht="12.75" x14ac:dyDescent="0.2">
      <c r="A94" s="20" t="s">
        <v>15</v>
      </c>
      <c r="B94" s="26">
        <v>25.108699999999999</v>
      </c>
      <c r="C94" s="26">
        <v>24.911300000000001</v>
      </c>
      <c r="D94" s="24">
        <v>4.6958700000000002</v>
      </c>
      <c r="E94" s="24">
        <v>4.9241299999999999</v>
      </c>
      <c r="F94" s="24">
        <v>4.3752399999999998</v>
      </c>
      <c r="G94" s="24">
        <v>5.0492299999999997</v>
      </c>
    </row>
    <row r="95" spans="1:13" ht="12.75" x14ac:dyDescent="0.2"/>
    <row r="96" spans="1:13" ht="12.75" x14ac:dyDescent="0.2">
      <c r="A96" s="20" t="s">
        <v>17</v>
      </c>
      <c r="B96" s="22">
        <v>1</v>
      </c>
      <c r="C96" s="22">
        <v>2</v>
      </c>
      <c r="D96" s="22">
        <v>3</v>
      </c>
      <c r="E96" s="22">
        <v>4</v>
      </c>
      <c r="F96" s="22">
        <v>5</v>
      </c>
      <c r="G96" s="22">
        <v>6</v>
      </c>
      <c r="H96" s="1"/>
      <c r="I96" s="1"/>
      <c r="J96" s="1"/>
      <c r="K96" s="1"/>
      <c r="L96" s="1"/>
      <c r="M96" s="1"/>
    </row>
    <row r="97" spans="1:7" ht="12.75" x14ac:dyDescent="0.2">
      <c r="A97" s="20" t="s">
        <v>8</v>
      </c>
      <c r="B97" s="20" t="s">
        <v>235</v>
      </c>
      <c r="C97" s="20" t="s">
        <v>235</v>
      </c>
      <c r="D97" s="20" t="s">
        <v>19</v>
      </c>
      <c r="E97" s="21" t="s">
        <v>251</v>
      </c>
      <c r="F97" s="21" t="s">
        <v>244</v>
      </c>
      <c r="G97" s="21" t="s">
        <v>243</v>
      </c>
    </row>
    <row r="98" spans="1:7" ht="12.75" x14ac:dyDescent="0.2">
      <c r="A98" s="20" t="s">
        <v>9</v>
      </c>
      <c r="B98" s="20" t="s">
        <v>234</v>
      </c>
      <c r="C98" s="20" t="s">
        <v>234</v>
      </c>
      <c r="D98" s="20" t="s">
        <v>236</v>
      </c>
      <c r="E98" s="20" t="s">
        <v>236</v>
      </c>
      <c r="F98" s="21" t="s">
        <v>245</v>
      </c>
      <c r="G98" s="21" t="s">
        <v>245</v>
      </c>
    </row>
    <row r="99" spans="1:7" ht="12.75" x14ac:dyDescent="0.2">
      <c r="A99" s="20" t="s">
        <v>10</v>
      </c>
      <c r="B99" s="20" t="s">
        <v>233</v>
      </c>
      <c r="C99" s="20" t="s">
        <v>233</v>
      </c>
      <c r="D99" s="20" t="s">
        <v>237</v>
      </c>
      <c r="E99" s="20" t="s">
        <v>237</v>
      </c>
      <c r="F99" s="20" t="s">
        <v>246</v>
      </c>
      <c r="G99" s="20" t="s">
        <v>272</v>
      </c>
    </row>
    <row r="100" spans="1:7" ht="12.75" x14ac:dyDescent="0.2">
      <c r="A100" s="20" t="s">
        <v>11</v>
      </c>
      <c r="B100" s="20" t="s">
        <v>232</v>
      </c>
      <c r="C100" s="20" t="s">
        <v>232</v>
      </c>
      <c r="D100" s="20" t="s">
        <v>238</v>
      </c>
      <c r="E100" s="20" t="s">
        <v>238</v>
      </c>
      <c r="F100" s="20" t="s">
        <v>247</v>
      </c>
      <c r="G100" s="20" t="s">
        <v>272</v>
      </c>
    </row>
    <row r="101" spans="1:7" ht="12.75" x14ac:dyDescent="0.2">
      <c r="A101" s="20" t="s">
        <v>12</v>
      </c>
      <c r="B101" s="20" t="s">
        <v>231</v>
      </c>
      <c r="C101" s="20" t="s">
        <v>231</v>
      </c>
      <c r="D101" s="20" t="s">
        <v>239</v>
      </c>
      <c r="E101" s="20" t="s">
        <v>239</v>
      </c>
      <c r="F101" s="20" t="s">
        <v>248</v>
      </c>
      <c r="G101" s="20" t="s">
        <v>271</v>
      </c>
    </row>
    <row r="102" spans="1:7" ht="12.75" x14ac:dyDescent="0.2">
      <c r="A102" s="20" t="s">
        <v>13</v>
      </c>
      <c r="B102" s="20" t="s">
        <v>230</v>
      </c>
      <c r="C102" s="20" t="s">
        <v>230</v>
      </c>
      <c r="D102" s="20" t="s">
        <v>240</v>
      </c>
      <c r="E102" s="20" t="s">
        <v>240</v>
      </c>
      <c r="F102" s="20" t="s">
        <v>249</v>
      </c>
      <c r="G102" s="20" t="s">
        <v>271</v>
      </c>
    </row>
    <row r="103" spans="1:7" ht="12.75" x14ac:dyDescent="0.2">
      <c r="A103" s="20" t="s">
        <v>14</v>
      </c>
      <c r="B103" s="20" t="s">
        <v>228</v>
      </c>
      <c r="C103" s="20" t="s">
        <v>228</v>
      </c>
      <c r="D103" s="21" t="s">
        <v>241</v>
      </c>
      <c r="E103" s="20" t="s">
        <v>241</v>
      </c>
      <c r="F103" s="20" t="s">
        <v>250</v>
      </c>
      <c r="G103" s="21" t="s">
        <v>268</v>
      </c>
    </row>
    <row r="104" spans="1:7" ht="12.75" x14ac:dyDescent="0.2">
      <c r="A104" s="20" t="s">
        <v>15</v>
      </c>
      <c r="B104" s="20" t="s">
        <v>229</v>
      </c>
      <c r="C104" s="20" t="s">
        <v>229</v>
      </c>
      <c r="D104" s="21" t="s">
        <v>242</v>
      </c>
      <c r="E104" s="20" t="s">
        <v>242</v>
      </c>
      <c r="F104" s="21" t="s">
        <v>269</v>
      </c>
      <c r="G104" s="21" t="s">
        <v>270</v>
      </c>
    </row>
    <row r="106" spans="1:7" ht="12.75" x14ac:dyDescent="0.2">
      <c r="A106" t="s">
        <v>98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asic Calculation 1_05"/>
  <dimension ref="A1:M34"/>
  <sheetViews>
    <sheetView topLeftCell="A10" workbookViewId="0">
      <selection activeCell="O27" sqref="O27"/>
    </sheetView>
  </sheetViews>
  <sheetFormatPr defaultColWidth="9.140625" defaultRowHeight="15" customHeight="1" x14ac:dyDescent="0.2"/>
  <cols>
    <col min="1" max="1" width="11.42578125" customWidth="1"/>
    <col min="2" max="7" width="18.285156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104</v>
      </c>
    </row>
    <row r="7" spans="1:13" ht="15" customHeight="1" x14ac:dyDescent="0.2">
      <c r="A7" t="s">
        <v>105</v>
      </c>
    </row>
    <row r="8" spans="1:13" ht="15" customHeight="1" x14ac:dyDescent="0.2">
      <c r="A8" t="s">
        <v>106</v>
      </c>
      <c r="B8" t="s">
        <v>5</v>
      </c>
    </row>
    <row r="9" spans="1:13" ht="15" customHeight="1" x14ac:dyDescent="0.2">
      <c r="A9" t="s">
        <v>107</v>
      </c>
      <c r="B9" t="s">
        <v>16</v>
      </c>
    </row>
    <row r="12" spans="1:13" ht="15" customHeight="1" x14ac:dyDescent="0.2">
      <c r="A12" t="s">
        <v>6</v>
      </c>
    </row>
    <row r="13" spans="1:13" ht="15" customHeight="1" x14ac:dyDescent="0.2">
      <c r="A13" t="s">
        <v>3</v>
      </c>
    </row>
    <row r="14" spans="1:13" ht="15" customHeight="1" x14ac:dyDescent="0.2">
      <c r="A14" s="20" t="s">
        <v>108</v>
      </c>
      <c r="B14" s="22">
        <v>1</v>
      </c>
      <c r="C14" s="22">
        <v>2</v>
      </c>
      <c r="D14" s="22">
        <v>3</v>
      </c>
      <c r="E14" s="22">
        <v>4</v>
      </c>
      <c r="F14" s="22">
        <v>5</v>
      </c>
      <c r="G14" s="22">
        <v>6</v>
      </c>
      <c r="H14" s="1"/>
      <c r="I14" s="1"/>
      <c r="J14" s="1"/>
      <c r="K14" s="1"/>
      <c r="L14" s="1"/>
      <c r="M14" s="1"/>
    </row>
    <row r="15" spans="1:13" ht="15" customHeight="1" x14ac:dyDescent="0.2">
      <c r="A15" s="20" t="s">
        <v>8</v>
      </c>
      <c r="B15" s="25">
        <v>2.5120300000000002E-2</v>
      </c>
      <c r="C15" s="25">
        <v>2.7202299999999999E-2</v>
      </c>
      <c r="D15" s="28">
        <v>6.5455000000000001E-3</v>
      </c>
      <c r="E15" s="23">
        <v>0.41353800000000002</v>
      </c>
      <c r="F15" s="23">
        <v>0.414997</v>
      </c>
      <c r="G15" s="23">
        <v>0.41840100000000002</v>
      </c>
    </row>
    <row r="16" spans="1:13" ht="15" customHeight="1" x14ac:dyDescent="0.2">
      <c r="A16" s="20" t="s">
        <v>9</v>
      </c>
      <c r="B16" s="25">
        <v>3.9842599999999999E-2</v>
      </c>
      <c r="C16" s="25">
        <v>4.3081099999999997E-2</v>
      </c>
      <c r="D16" s="28">
        <v>6.4716000000000001E-3</v>
      </c>
      <c r="E16" s="28">
        <v>6.3714000000000002E-3</v>
      </c>
      <c r="F16" s="23">
        <v>0.43376999999999999</v>
      </c>
      <c r="G16" s="23">
        <v>0.40391899999999997</v>
      </c>
    </row>
    <row r="17" spans="1:13" ht="15" customHeight="1" x14ac:dyDescent="0.2">
      <c r="A17" s="20" t="s">
        <v>10</v>
      </c>
      <c r="B17" s="25">
        <v>7.21609E-2</v>
      </c>
      <c r="C17" s="25">
        <v>7.9865500000000006E-2</v>
      </c>
      <c r="D17" s="28">
        <v>6.6477000000000003E-3</v>
      </c>
      <c r="E17" s="28">
        <v>6.6425E-3</v>
      </c>
      <c r="F17" s="25">
        <v>1.1971300000000001E-2</v>
      </c>
      <c r="G17" s="23">
        <v>0.136355</v>
      </c>
    </row>
    <row r="18" spans="1:13" ht="15" customHeight="1" x14ac:dyDescent="0.2">
      <c r="A18" s="20" t="s">
        <v>11</v>
      </c>
      <c r="B18" s="23">
        <v>0.14519899999999999</v>
      </c>
      <c r="C18" s="23">
        <v>0.14887400000000001</v>
      </c>
      <c r="D18" s="28">
        <v>5.4429999999999999E-3</v>
      </c>
      <c r="E18" s="28">
        <v>8.0070000000000002E-3</v>
      </c>
      <c r="F18" s="28">
        <v>9.9378999999999995E-3</v>
      </c>
      <c r="G18" s="23">
        <v>0.138986</v>
      </c>
    </row>
    <row r="19" spans="1:13" ht="15" customHeight="1" x14ac:dyDescent="0.2">
      <c r="A19" s="20" t="s">
        <v>12</v>
      </c>
      <c r="B19" s="23">
        <v>0.30548500000000001</v>
      </c>
      <c r="C19" s="23">
        <v>0.29148400000000002</v>
      </c>
      <c r="D19" s="28">
        <v>7.4697000000000001E-3</v>
      </c>
      <c r="E19" s="28">
        <v>7.9804999999999997E-3</v>
      </c>
      <c r="F19" s="28">
        <v>8.5909000000000003E-3</v>
      </c>
      <c r="G19" s="23">
        <v>0.36921100000000001</v>
      </c>
    </row>
    <row r="20" spans="1:13" ht="15" customHeight="1" x14ac:dyDescent="0.2">
      <c r="A20" s="20" t="s">
        <v>13</v>
      </c>
      <c r="B20" s="23">
        <v>0.57697100000000001</v>
      </c>
      <c r="C20" s="23">
        <v>0.59687599999999996</v>
      </c>
      <c r="D20" s="28">
        <v>7.2667000000000001E-3</v>
      </c>
      <c r="E20" s="28">
        <v>7.2687999999999997E-3</v>
      </c>
      <c r="F20" s="25">
        <v>1.11383E-2</v>
      </c>
      <c r="G20" s="23">
        <v>0.383432</v>
      </c>
    </row>
    <row r="21" spans="1:13" ht="15" customHeight="1" x14ac:dyDescent="0.2">
      <c r="A21" s="20" t="s">
        <v>14</v>
      </c>
      <c r="B21" s="24">
        <v>1.0997600000000001</v>
      </c>
      <c r="C21" s="24">
        <v>1.1027199999999999</v>
      </c>
      <c r="D21" s="23">
        <v>0.365898</v>
      </c>
      <c r="E21" s="23">
        <v>0.35073599999999999</v>
      </c>
      <c r="F21" s="28">
        <v>8.1107999999999996E-3</v>
      </c>
      <c r="G21" s="23">
        <v>0.38569799999999999</v>
      </c>
    </row>
    <row r="22" spans="1:13" ht="15" customHeight="1" x14ac:dyDescent="0.2">
      <c r="A22" s="20" t="s">
        <v>15</v>
      </c>
      <c r="B22" s="24">
        <v>1.92211</v>
      </c>
      <c r="C22" s="24">
        <v>1.91553</v>
      </c>
      <c r="D22" s="23">
        <v>0.44650800000000002</v>
      </c>
      <c r="E22" s="23">
        <v>0.46714800000000001</v>
      </c>
      <c r="F22" s="23">
        <v>0.41796499999999998</v>
      </c>
      <c r="G22" s="23">
        <v>0.465472</v>
      </c>
    </row>
    <row r="24" spans="1:13" ht="15" customHeight="1" x14ac:dyDescent="0.2">
      <c r="A24" s="20" t="s">
        <v>17</v>
      </c>
      <c r="B24" s="22">
        <v>1</v>
      </c>
      <c r="C24" s="22">
        <v>2</v>
      </c>
      <c r="D24" s="22">
        <v>3</v>
      </c>
      <c r="E24" s="22">
        <v>4</v>
      </c>
      <c r="F24" s="22">
        <v>5</v>
      </c>
      <c r="G24" s="22">
        <v>6</v>
      </c>
      <c r="H24" s="1"/>
      <c r="I24" s="1"/>
      <c r="J24" s="1"/>
      <c r="K24" s="1"/>
      <c r="L24" s="1"/>
      <c r="M24" s="1"/>
    </row>
    <row r="25" spans="1:13" ht="15" customHeight="1" x14ac:dyDescent="0.2">
      <c r="A25" s="20" t="s">
        <v>8</v>
      </c>
      <c r="B25" s="20" t="s">
        <v>235</v>
      </c>
      <c r="C25" s="20" t="s">
        <v>235</v>
      </c>
      <c r="D25" s="20" t="s">
        <v>19</v>
      </c>
      <c r="E25" s="21" t="s">
        <v>251</v>
      </c>
      <c r="F25" s="21" t="s">
        <v>244</v>
      </c>
      <c r="G25" s="21" t="s">
        <v>243</v>
      </c>
    </row>
    <row r="26" spans="1:13" ht="15" customHeight="1" x14ac:dyDescent="0.2">
      <c r="A26" s="20" t="s">
        <v>9</v>
      </c>
      <c r="B26" s="20" t="s">
        <v>234</v>
      </c>
      <c r="C26" s="20" t="s">
        <v>234</v>
      </c>
      <c r="D26" s="20" t="s">
        <v>236</v>
      </c>
      <c r="E26" s="20" t="s">
        <v>236</v>
      </c>
      <c r="F26" s="21" t="s">
        <v>245</v>
      </c>
      <c r="G26" s="21" t="s">
        <v>245</v>
      </c>
    </row>
    <row r="27" spans="1:13" ht="15" customHeight="1" x14ac:dyDescent="0.2">
      <c r="A27" s="20" t="s">
        <v>10</v>
      </c>
      <c r="B27" s="20" t="s">
        <v>233</v>
      </c>
      <c r="C27" s="20" t="s">
        <v>233</v>
      </c>
      <c r="D27" s="20" t="s">
        <v>237</v>
      </c>
      <c r="E27" s="20" t="s">
        <v>237</v>
      </c>
      <c r="F27" s="20" t="s">
        <v>246</v>
      </c>
      <c r="G27" s="20" t="s">
        <v>272</v>
      </c>
    </row>
    <row r="28" spans="1:13" ht="15" customHeight="1" x14ac:dyDescent="0.2">
      <c r="A28" s="20" t="s">
        <v>11</v>
      </c>
      <c r="B28" s="20" t="s">
        <v>232</v>
      </c>
      <c r="C28" s="20" t="s">
        <v>232</v>
      </c>
      <c r="D28" s="20" t="s">
        <v>238</v>
      </c>
      <c r="E28" s="20" t="s">
        <v>238</v>
      </c>
      <c r="F28" s="20" t="s">
        <v>247</v>
      </c>
      <c r="G28" s="20" t="s">
        <v>272</v>
      </c>
    </row>
    <row r="29" spans="1:13" ht="15" customHeight="1" x14ac:dyDescent="0.2">
      <c r="A29" s="20" t="s">
        <v>12</v>
      </c>
      <c r="B29" s="20" t="s">
        <v>231</v>
      </c>
      <c r="C29" s="20" t="s">
        <v>231</v>
      </c>
      <c r="D29" s="20" t="s">
        <v>239</v>
      </c>
      <c r="E29" s="20" t="s">
        <v>239</v>
      </c>
      <c r="F29" s="20" t="s">
        <v>248</v>
      </c>
      <c r="G29" s="20" t="s">
        <v>271</v>
      </c>
    </row>
    <row r="30" spans="1:13" ht="15" customHeight="1" x14ac:dyDescent="0.2">
      <c r="A30" s="20" t="s">
        <v>13</v>
      </c>
      <c r="B30" s="20" t="s">
        <v>230</v>
      </c>
      <c r="C30" s="20" t="s">
        <v>230</v>
      </c>
      <c r="D30" s="20" t="s">
        <v>240</v>
      </c>
      <c r="E30" s="20" t="s">
        <v>240</v>
      </c>
      <c r="F30" s="20" t="s">
        <v>249</v>
      </c>
      <c r="G30" s="20" t="s">
        <v>271</v>
      </c>
    </row>
    <row r="31" spans="1:13" ht="15" customHeight="1" x14ac:dyDescent="0.2">
      <c r="A31" s="20" t="s">
        <v>14</v>
      </c>
      <c r="B31" s="20" t="s">
        <v>228</v>
      </c>
      <c r="C31" s="20" t="s">
        <v>228</v>
      </c>
      <c r="D31" s="21" t="s">
        <v>241</v>
      </c>
      <c r="E31" s="20" t="s">
        <v>241</v>
      </c>
      <c r="F31" s="20" t="s">
        <v>250</v>
      </c>
      <c r="G31" s="21" t="s">
        <v>268</v>
      </c>
    </row>
    <row r="32" spans="1:13" ht="15" customHeight="1" x14ac:dyDescent="0.2">
      <c r="A32" s="20" t="s">
        <v>15</v>
      </c>
      <c r="B32" s="20" t="s">
        <v>229</v>
      </c>
      <c r="C32" s="20" t="s">
        <v>229</v>
      </c>
      <c r="D32" s="21" t="s">
        <v>242</v>
      </c>
      <c r="E32" s="20" t="s">
        <v>242</v>
      </c>
      <c r="F32" s="21" t="s">
        <v>269</v>
      </c>
      <c r="G32" s="21" t="s">
        <v>270</v>
      </c>
    </row>
    <row r="34" spans="1:1" ht="15" customHeight="1" x14ac:dyDescent="0.2">
      <c r="A34" t="s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nk Subtraction 2_06"/>
  <dimension ref="A1:M31"/>
  <sheetViews>
    <sheetView workbookViewId="0">
      <selection activeCell="R12" sqref="R12"/>
    </sheetView>
  </sheetViews>
  <sheetFormatPr defaultColWidth="9.140625" defaultRowHeight="15" customHeight="1" x14ac:dyDescent="0.2"/>
  <cols>
    <col min="1" max="1" width="10.5703125" customWidth="1"/>
    <col min="2" max="7" width="17.71093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110</v>
      </c>
    </row>
    <row r="9" spans="1:13" ht="15" customHeight="1" x14ac:dyDescent="0.2">
      <c r="A9" t="s">
        <v>6</v>
      </c>
    </row>
    <row r="10" spans="1:13" ht="15" customHeight="1" x14ac:dyDescent="0.2">
      <c r="A10" t="s">
        <v>3</v>
      </c>
    </row>
    <row r="11" spans="1:13" ht="15" customHeight="1" x14ac:dyDescent="0.2">
      <c r="A11" s="20" t="s">
        <v>100</v>
      </c>
      <c r="B11" s="22">
        <v>1</v>
      </c>
      <c r="C11" s="22">
        <v>2</v>
      </c>
      <c r="D11" s="22">
        <v>3</v>
      </c>
      <c r="E11" s="22">
        <v>4</v>
      </c>
      <c r="F11" s="22">
        <v>5</v>
      </c>
      <c r="G11" s="22">
        <v>6</v>
      </c>
      <c r="H11" s="1"/>
      <c r="I11" s="1"/>
      <c r="J11" s="1"/>
      <c r="K11" s="1"/>
      <c r="L11" s="1"/>
      <c r="M11" s="1"/>
    </row>
    <row r="12" spans="1:13" ht="15" customHeight="1" x14ac:dyDescent="0.2">
      <c r="A12" s="20" t="s">
        <v>8</v>
      </c>
      <c r="B12" s="25">
        <v>1.8574799999999999E-2</v>
      </c>
      <c r="C12" s="25">
        <v>2.0656799999999999E-2</v>
      </c>
      <c r="D12" s="35">
        <v>0</v>
      </c>
      <c r="E12" s="23">
        <v>0.40699200000000002</v>
      </c>
      <c r="F12" s="23">
        <v>0.40845199999999998</v>
      </c>
      <c r="G12" s="23">
        <v>0.411856</v>
      </c>
    </row>
    <row r="13" spans="1:13" ht="15" customHeight="1" x14ac:dyDescent="0.2">
      <c r="A13" s="20" t="s">
        <v>9</v>
      </c>
      <c r="B13" s="25">
        <v>3.3297100000000003E-2</v>
      </c>
      <c r="C13" s="25">
        <v>3.6535600000000001E-2</v>
      </c>
      <c r="D13" s="22">
        <v>-7.3899999999999994E-5</v>
      </c>
      <c r="E13" s="27">
        <v>-1.741E-4</v>
      </c>
      <c r="F13" s="23">
        <v>0.42722500000000002</v>
      </c>
      <c r="G13" s="23">
        <v>0.39737299999999998</v>
      </c>
    </row>
    <row r="14" spans="1:13" ht="15" customHeight="1" x14ac:dyDescent="0.2">
      <c r="A14" s="20" t="s">
        <v>10</v>
      </c>
      <c r="B14" s="25">
        <v>6.5615400000000004E-2</v>
      </c>
      <c r="C14" s="25">
        <v>7.3319999999999996E-2</v>
      </c>
      <c r="D14" s="27">
        <v>1.022E-4</v>
      </c>
      <c r="E14" s="22">
        <v>9.7E-5</v>
      </c>
      <c r="F14" s="28">
        <v>5.4257999999999997E-3</v>
      </c>
      <c r="G14" s="23">
        <v>0.12981000000000001</v>
      </c>
    </row>
    <row r="15" spans="1:13" ht="15" customHeight="1" x14ac:dyDescent="0.2">
      <c r="A15" s="20" t="s">
        <v>11</v>
      </c>
      <c r="B15" s="23">
        <v>0.138654</v>
      </c>
      <c r="C15" s="23">
        <v>0.14232800000000001</v>
      </c>
      <c r="D15" s="28">
        <v>-1.1025E-3</v>
      </c>
      <c r="E15" s="28">
        <v>1.4614999999999999E-3</v>
      </c>
      <c r="F15" s="28">
        <v>3.3923999999999998E-3</v>
      </c>
      <c r="G15" s="23">
        <v>0.132441</v>
      </c>
    </row>
    <row r="16" spans="1:13" ht="15" customHeight="1" x14ac:dyDescent="0.2">
      <c r="A16" s="20" t="s">
        <v>12</v>
      </c>
      <c r="B16" s="23">
        <v>0.29893900000000001</v>
      </c>
      <c r="C16" s="23">
        <v>0.284939</v>
      </c>
      <c r="D16" s="27">
        <v>9.2420000000000002E-4</v>
      </c>
      <c r="E16" s="28">
        <v>1.4350000000000001E-3</v>
      </c>
      <c r="F16" s="28">
        <v>2.0454000000000002E-3</v>
      </c>
      <c r="G16" s="23">
        <v>0.36266599999999999</v>
      </c>
    </row>
    <row r="17" spans="1:13" ht="15" customHeight="1" x14ac:dyDescent="0.2">
      <c r="A17" s="20" t="s">
        <v>13</v>
      </c>
      <c r="B17" s="23">
        <v>0.57042499999999996</v>
      </c>
      <c r="C17" s="23">
        <v>0.59033100000000005</v>
      </c>
      <c r="D17" s="27">
        <v>7.2119999999999997E-4</v>
      </c>
      <c r="E17" s="27">
        <v>7.2329999999999996E-4</v>
      </c>
      <c r="F17" s="28">
        <v>4.5928000000000002E-3</v>
      </c>
      <c r="G17" s="23">
        <v>0.37688700000000003</v>
      </c>
    </row>
    <row r="18" spans="1:13" ht="15" customHeight="1" x14ac:dyDescent="0.2">
      <c r="A18" s="20" t="s">
        <v>14</v>
      </c>
      <c r="B18" s="24">
        <v>1.09321</v>
      </c>
      <c r="C18" s="24">
        <v>1.0961700000000001</v>
      </c>
      <c r="D18" s="23">
        <v>0.35935299999999998</v>
      </c>
      <c r="E18" s="23">
        <v>0.34419100000000002</v>
      </c>
      <c r="F18" s="28">
        <v>1.5652999999999999E-3</v>
      </c>
      <c r="G18" s="23">
        <v>0.37915300000000002</v>
      </c>
    </row>
    <row r="19" spans="1:13" ht="15" customHeight="1" x14ac:dyDescent="0.2">
      <c r="A19" s="20" t="s">
        <v>15</v>
      </c>
      <c r="B19" s="24">
        <v>1.91557</v>
      </c>
      <c r="C19" s="24">
        <v>1.9089799999999999</v>
      </c>
      <c r="D19" s="23">
        <v>0.43996200000000002</v>
      </c>
      <c r="E19" s="23">
        <v>0.46060299999999998</v>
      </c>
      <c r="F19" s="23">
        <v>0.41141899999999998</v>
      </c>
      <c r="G19" s="23">
        <v>0.45892699999999997</v>
      </c>
    </row>
    <row r="21" spans="1:13" ht="15" customHeight="1" x14ac:dyDescent="0.2">
      <c r="A21" s="20" t="s">
        <v>17</v>
      </c>
      <c r="B21" s="22">
        <v>1</v>
      </c>
      <c r="C21" s="22">
        <v>2</v>
      </c>
      <c r="D21" s="22">
        <v>3</v>
      </c>
      <c r="E21" s="22">
        <v>4</v>
      </c>
      <c r="F21" s="22">
        <v>5</v>
      </c>
      <c r="G21" s="22">
        <v>6</v>
      </c>
      <c r="H21" s="1"/>
      <c r="I21" s="1"/>
      <c r="J21" s="1"/>
      <c r="K21" s="1"/>
      <c r="L21" s="1"/>
      <c r="M21" s="1"/>
    </row>
    <row r="22" spans="1:13" ht="15" customHeight="1" x14ac:dyDescent="0.2">
      <c r="A22" s="20" t="s">
        <v>8</v>
      </c>
      <c r="B22" s="20" t="s">
        <v>235</v>
      </c>
      <c r="C22" s="20" t="s">
        <v>235</v>
      </c>
      <c r="D22" s="20" t="s">
        <v>19</v>
      </c>
      <c r="E22" s="21" t="s">
        <v>251</v>
      </c>
      <c r="F22" s="21" t="s">
        <v>244</v>
      </c>
      <c r="G22" s="21" t="s">
        <v>243</v>
      </c>
    </row>
    <row r="23" spans="1:13" ht="15" customHeight="1" x14ac:dyDescent="0.2">
      <c r="A23" s="20" t="s">
        <v>9</v>
      </c>
      <c r="B23" s="20" t="s">
        <v>234</v>
      </c>
      <c r="C23" s="20" t="s">
        <v>234</v>
      </c>
      <c r="D23" s="20" t="s">
        <v>236</v>
      </c>
      <c r="E23" s="20" t="s">
        <v>236</v>
      </c>
      <c r="F23" s="21" t="s">
        <v>245</v>
      </c>
      <c r="G23" s="21" t="s">
        <v>245</v>
      </c>
    </row>
    <row r="24" spans="1:13" ht="15" customHeight="1" x14ac:dyDescent="0.2">
      <c r="A24" s="20" t="s">
        <v>10</v>
      </c>
      <c r="B24" s="20" t="s">
        <v>233</v>
      </c>
      <c r="C24" s="20" t="s">
        <v>233</v>
      </c>
      <c r="D24" s="20" t="s">
        <v>237</v>
      </c>
      <c r="E24" s="20" t="s">
        <v>237</v>
      </c>
      <c r="F24" s="20" t="s">
        <v>246</v>
      </c>
      <c r="G24" s="20" t="s">
        <v>272</v>
      </c>
    </row>
    <row r="25" spans="1:13" ht="15" customHeight="1" x14ac:dyDescent="0.2">
      <c r="A25" s="20" t="s">
        <v>11</v>
      </c>
      <c r="B25" s="20" t="s">
        <v>232</v>
      </c>
      <c r="C25" s="20" t="s">
        <v>232</v>
      </c>
      <c r="D25" s="20" t="s">
        <v>238</v>
      </c>
      <c r="E25" s="20" t="s">
        <v>238</v>
      </c>
      <c r="F25" s="20" t="s">
        <v>247</v>
      </c>
      <c r="G25" s="20" t="s">
        <v>272</v>
      </c>
    </row>
    <row r="26" spans="1:13" ht="15" customHeight="1" x14ac:dyDescent="0.2">
      <c r="A26" s="20" t="s">
        <v>12</v>
      </c>
      <c r="B26" s="20" t="s">
        <v>231</v>
      </c>
      <c r="C26" s="20" t="s">
        <v>231</v>
      </c>
      <c r="D26" s="20" t="s">
        <v>239</v>
      </c>
      <c r="E26" s="20" t="s">
        <v>239</v>
      </c>
      <c r="F26" s="20" t="s">
        <v>248</v>
      </c>
      <c r="G26" s="20" t="s">
        <v>271</v>
      </c>
    </row>
    <row r="27" spans="1:13" ht="15" customHeight="1" x14ac:dyDescent="0.2">
      <c r="A27" s="20" t="s">
        <v>13</v>
      </c>
      <c r="B27" s="20" t="s">
        <v>230</v>
      </c>
      <c r="C27" s="20" t="s">
        <v>230</v>
      </c>
      <c r="D27" s="20" t="s">
        <v>240</v>
      </c>
      <c r="E27" s="20" t="s">
        <v>240</v>
      </c>
      <c r="F27" s="20" t="s">
        <v>249</v>
      </c>
      <c r="G27" s="20" t="s">
        <v>271</v>
      </c>
    </row>
    <row r="28" spans="1:13" ht="15" customHeight="1" x14ac:dyDescent="0.2">
      <c r="A28" s="20" t="s">
        <v>14</v>
      </c>
      <c r="B28" s="20" t="s">
        <v>228</v>
      </c>
      <c r="C28" s="20" t="s">
        <v>228</v>
      </c>
      <c r="D28" s="21" t="s">
        <v>241</v>
      </c>
      <c r="E28" s="20" t="s">
        <v>241</v>
      </c>
      <c r="F28" s="20" t="s">
        <v>250</v>
      </c>
      <c r="G28" s="21" t="s">
        <v>268</v>
      </c>
    </row>
    <row r="29" spans="1:13" ht="15" customHeight="1" x14ac:dyDescent="0.2">
      <c r="A29" s="20" t="s">
        <v>15</v>
      </c>
      <c r="B29" s="20" t="s">
        <v>229</v>
      </c>
      <c r="C29" s="20" t="s">
        <v>229</v>
      </c>
      <c r="D29" s="21" t="s">
        <v>242</v>
      </c>
      <c r="E29" s="20" t="s">
        <v>242</v>
      </c>
      <c r="F29" s="21" t="s">
        <v>269</v>
      </c>
      <c r="G29" s="21" t="s">
        <v>270</v>
      </c>
    </row>
    <row r="31" spans="1:13" ht="15" customHeight="1" x14ac:dyDescent="0.2">
      <c r="A31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tandard Curve 3_07"/>
  <dimension ref="A1:P105"/>
  <sheetViews>
    <sheetView tabSelected="1" topLeftCell="A69" workbookViewId="0">
      <selection activeCell="P99" sqref="P99"/>
    </sheetView>
  </sheetViews>
  <sheetFormatPr defaultColWidth="9.140625" defaultRowHeight="15" customHeight="1" x14ac:dyDescent="0.2"/>
  <cols>
    <col min="1" max="1" width="8.140625" customWidth="1"/>
    <col min="2" max="7" width="17.7109375" customWidth="1"/>
    <col min="8" max="9" width="5.85546875" customWidth="1"/>
    <col min="10" max="13" width="12.855468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112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63</v>
      </c>
    </row>
    <row r="11" spans="1:1" ht="15" customHeight="1" x14ac:dyDescent="0.2">
      <c r="A11" t="s">
        <v>64</v>
      </c>
    </row>
    <row r="12" spans="1:1" ht="15" customHeight="1" x14ac:dyDescent="0.2">
      <c r="A12" t="s">
        <v>3</v>
      </c>
    </row>
    <row r="14" spans="1:1" ht="15" customHeight="1" x14ac:dyDescent="0.2">
      <c r="A14" t="s">
        <v>3</v>
      </c>
    </row>
    <row r="35" spans="1:7" ht="15" customHeight="1" x14ac:dyDescent="0.2">
      <c r="A35" t="s">
        <v>113</v>
      </c>
    </row>
    <row r="37" spans="1:7" ht="15" customHeight="1" x14ac:dyDescent="0.2">
      <c r="A37" t="s">
        <v>66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  <c r="B39" s="8">
        <v>2.43012E-3</v>
      </c>
    </row>
    <row r="40" spans="1:7" ht="12.75" x14ac:dyDescent="0.2">
      <c r="A40" t="s">
        <v>69</v>
      </c>
      <c r="B40" s="5">
        <v>1.0726500000000001</v>
      </c>
    </row>
    <row r="41" spans="1:7" ht="12.75" x14ac:dyDescent="0.2">
      <c r="A41" t="s">
        <v>70</v>
      </c>
      <c r="B41" s="3">
        <v>49.683999999999997</v>
      </c>
    </row>
    <row r="42" spans="1:7" ht="12.75" x14ac:dyDescent="0.2">
      <c r="A42" t="s">
        <v>71</v>
      </c>
      <c r="B42" s="5">
        <v>5.9012099999999998</v>
      </c>
    </row>
    <row r="43" spans="1:7" ht="12.75" x14ac:dyDescent="0.2"/>
    <row r="44" spans="1:7" ht="12.75" x14ac:dyDescent="0.2">
      <c r="A44" t="s">
        <v>72</v>
      </c>
    </row>
    <row r="45" spans="1:7" ht="12.75" x14ac:dyDescent="0.2">
      <c r="A45" t="s">
        <v>3</v>
      </c>
    </row>
    <row r="46" spans="1:7" ht="12.75" x14ac:dyDescent="0.2">
      <c r="A46" t="s">
        <v>73</v>
      </c>
      <c r="B46" t="s">
        <v>17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</row>
    <row r="47" spans="1:7" ht="12.75" x14ac:dyDescent="0.2">
      <c r="A47" t="s">
        <v>79</v>
      </c>
      <c r="B47" t="s">
        <v>53</v>
      </c>
      <c r="C47" s="4">
        <v>25</v>
      </c>
      <c r="D47" s="5">
        <v>1.9122699999999999</v>
      </c>
      <c r="E47" s="6">
        <v>0.24348800000000001</v>
      </c>
      <c r="F47" s="5">
        <v>1.9120200000000001</v>
      </c>
      <c r="G47" s="7">
        <v>2.57729E-4</v>
      </c>
    </row>
    <row r="48" spans="1:7" ht="12.75" x14ac:dyDescent="0.2">
      <c r="A48" t="s">
        <v>80</v>
      </c>
      <c r="B48" t="s">
        <v>53</v>
      </c>
      <c r="C48" s="4">
        <v>25</v>
      </c>
      <c r="D48" s="5">
        <v>1.91557</v>
      </c>
      <c r="F48" s="5">
        <v>1.9120200000000001</v>
      </c>
      <c r="G48" s="8">
        <v>3.5501299999999999E-3</v>
      </c>
    </row>
    <row r="49" spans="1:7" ht="12.75" x14ac:dyDescent="0.2">
      <c r="A49" t="s">
        <v>81</v>
      </c>
      <c r="B49" t="s">
        <v>53</v>
      </c>
      <c r="C49" s="4">
        <v>25</v>
      </c>
      <c r="D49" s="5">
        <v>1.9089799999999999</v>
      </c>
      <c r="F49" s="5">
        <v>1.9120200000000001</v>
      </c>
      <c r="G49" s="8">
        <v>-3.0346700000000002E-3</v>
      </c>
    </row>
    <row r="50" spans="1:7" ht="12.75" x14ac:dyDescent="0.2">
      <c r="A50" t="s">
        <v>79</v>
      </c>
      <c r="B50" t="s">
        <v>48</v>
      </c>
      <c r="C50" s="4">
        <v>12.5</v>
      </c>
      <c r="D50" s="5">
        <v>1.0946899999999999</v>
      </c>
      <c r="E50" s="6">
        <v>0.191302</v>
      </c>
      <c r="F50" s="5">
        <v>1.0960399999999999</v>
      </c>
      <c r="G50" s="8">
        <v>-1.3492300000000001E-3</v>
      </c>
    </row>
    <row r="51" spans="1:7" ht="12.75" x14ac:dyDescent="0.2">
      <c r="A51" t="s">
        <v>82</v>
      </c>
      <c r="B51" t="s">
        <v>48</v>
      </c>
      <c r="C51" s="4">
        <v>12.5</v>
      </c>
      <c r="D51" s="5">
        <v>1.09321</v>
      </c>
      <c r="F51" s="5">
        <v>1.0960399999999999</v>
      </c>
      <c r="G51" s="8">
        <v>-2.8300299999999999E-3</v>
      </c>
    </row>
    <row r="52" spans="1:7" ht="12.75" x14ac:dyDescent="0.2">
      <c r="A52" t="s">
        <v>83</v>
      </c>
      <c r="B52" t="s">
        <v>48</v>
      </c>
      <c r="C52" s="4">
        <v>12.5</v>
      </c>
      <c r="D52" s="5">
        <v>1.0961700000000001</v>
      </c>
      <c r="F52" s="5">
        <v>1.0960399999999999</v>
      </c>
      <c r="G52" s="7">
        <v>1.3157500000000001E-4</v>
      </c>
    </row>
    <row r="53" spans="1:7" ht="12.75" x14ac:dyDescent="0.2">
      <c r="A53" t="s">
        <v>79</v>
      </c>
      <c r="B53" t="s">
        <v>43</v>
      </c>
      <c r="C53" s="5">
        <v>6.25</v>
      </c>
      <c r="D53" s="6">
        <v>0.58037799999999995</v>
      </c>
      <c r="E53" s="5">
        <v>2.42523</v>
      </c>
      <c r="F53" s="6">
        <v>0.57839399999999996</v>
      </c>
      <c r="G53" s="8">
        <v>1.9838600000000001E-3</v>
      </c>
    </row>
    <row r="54" spans="1:7" ht="12.75" x14ac:dyDescent="0.2">
      <c r="A54" t="s">
        <v>84</v>
      </c>
      <c r="B54" t="s">
        <v>43</v>
      </c>
      <c r="C54" s="5">
        <v>6.25</v>
      </c>
      <c r="D54" s="6">
        <v>0.57042499999999996</v>
      </c>
      <c r="F54" s="6">
        <v>0.57839399999999996</v>
      </c>
      <c r="G54" s="8">
        <v>-7.9690400000000002E-3</v>
      </c>
    </row>
    <row r="55" spans="1:7" ht="12.75" x14ac:dyDescent="0.2">
      <c r="A55" t="s">
        <v>85</v>
      </c>
      <c r="B55" t="s">
        <v>43</v>
      </c>
      <c r="C55" s="5">
        <v>6.25</v>
      </c>
      <c r="D55" s="6">
        <v>0.59033100000000005</v>
      </c>
      <c r="F55" s="6">
        <v>0.57839399999999996</v>
      </c>
      <c r="G55" s="2">
        <v>1.1936799999999999E-2</v>
      </c>
    </row>
    <row r="56" spans="1:7" ht="12.75" x14ac:dyDescent="0.2">
      <c r="A56" t="s">
        <v>79</v>
      </c>
      <c r="B56" t="s">
        <v>38</v>
      </c>
      <c r="C56" s="5">
        <v>3.125</v>
      </c>
      <c r="D56" s="6">
        <v>0.291939</v>
      </c>
      <c r="E56" s="5">
        <v>3.3910900000000002</v>
      </c>
      <c r="F56" s="6">
        <v>0.29105199999999998</v>
      </c>
      <c r="G56" s="7">
        <v>8.87132E-4</v>
      </c>
    </row>
    <row r="57" spans="1:7" ht="12.75" x14ac:dyDescent="0.2">
      <c r="A57" t="s">
        <v>86</v>
      </c>
      <c r="B57" t="s">
        <v>38</v>
      </c>
      <c r="C57" s="5">
        <v>3.125</v>
      </c>
      <c r="D57" s="6">
        <v>0.29893900000000001</v>
      </c>
      <c r="F57" s="6">
        <v>0.29105199999999998</v>
      </c>
      <c r="G57" s="8">
        <v>7.8874300000000008E-3</v>
      </c>
    </row>
    <row r="58" spans="1:7" ht="12.75" x14ac:dyDescent="0.2">
      <c r="A58" t="s">
        <v>87</v>
      </c>
      <c r="B58" t="s">
        <v>38</v>
      </c>
      <c r="C58" s="5">
        <v>3.125</v>
      </c>
      <c r="D58" s="6">
        <v>0.284939</v>
      </c>
      <c r="F58" s="6">
        <v>0.29105199999999998</v>
      </c>
      <c r="G58" s="8">
        <v>-6.1131700000000002E-3</v>
      </c>
    </row>
    <row r="59" spans="1:7" ht="12.75" x14ac:dyDescent="0.2">
      <c r="A59" t="s">
        <v>79</v>
      </c>
      <c r="B59" t="s">
        <v>33</v>
      </c>
      <c r="C59" s="5">
        <v>1.5625</v>
      </c>
      <c r="D59" s="6">
        <v>0.140491</v>
      </c>
      <c r="E59" s="5">
        <v>1.8494699999999999</v>
      </c>
      <c r="F59" s="6">
        <v>0.14326800000000001</v>
      </c>
      <c r="G59" s="8">
        <v>-2.7774000000000002E-3</v>
      </c>
    </row>
    <row r="60" spans="1:7" ht="12.75" x14ac:dyDescent="0.2">
      <c r="A60" t="s">
        <v>88</v>
      </c>
      <c r="B60" t="s">
        <v>33</v>
      </c>
      <c r="C60" s="5">
        <v>1.5625</v>
      </c>
      <c r="D60" s="6">
        <v>0.138654</v>
      </c>
      <c r="F60" s="6">
        <v>0.14326800000000001</v>
      </c>
      <c r="G60" s="8">
        <v>-4.6147000000000002E-3</v>
      </c>
    </row>
    <row r="61" spans="1:7" ht="12.75" x14ac:dyDescent="0.2">
      <c r="A61" t="s">
        <v>89</v>
      </c>
      <c r="B61" t="s">
        <v>33</v>
      </c>
      <c r="C61" s="5">
        <v>1.5625</v>
      </c>
      <c r="D61" s="6">
        <v>0.14232800000000001</v>
      </c>
      <c r="F61" s="6">
        <v>0.14326800000000001</v>
      </c>
      <c r="G61" s="7">
        <v>-9.40098E-4</v>
      </c>
    </row>
    <row r="62" spans="1:7" ht="12.75" x14ac:dyDescent="0.2">
      <c r="A62" t="s">
        <v>79</v>
      </c>
      <c r="B62" t="s">
        <v>28</v>
      </c>
      <c r="C62" s="6">
        <v>0.78125</v>
      </c>
      <c r="D62" s="2">
        <v>6.9467699999999993E-2</v>
      </c>
      <c r="E62" s="5">
        <v>7.84246</v>
      </c>
      <c r="F62" s="2">
        <v>7.0240200000000003E-2</v>
      </c>
      <c r="G62" s="7">
        <v>-7.7254299999999999E-4</v>
      </c>
    </row>
    <row r="63" spans="1:7" ht="12.75" x14ac:dyDescent="0.2">
      <c r="A63" t="s">
        <v>90</v>
      </c>
      <c r="B63" t="s">
        <v>28</v>
      </c>
      <c r="C63" s="6">
        <v>0.78125</v>
      </c>
      <c r="D63" s="2">
        <v>6.5615400000000004E-2</v>
      </c>
      <c r="F63" s="2">
        <v>7.0240200000000003E-2</v>
      </c>
      <c r="G63" s="8">
        <v>-4.6248399999999999E-3</v>
      </c>
    </row>
    <row r="64" spans="1:7" ht="12.75" x14ac:dyDescent="0.2">
      <c r="A64" t="s">
        <v>91</v>
      </c>
      <c r="B64" t="s">
        <v>28</v>
      </c>
      <c r="C64" s="6">
        <v>0.78125</v>
      </c>
      <c r="D64" s="2">
        <v>7.3319999999999996E-2</v>
      </c>
      <c r="F64" s="2">
        <v>7.0240200000000003E-2</v>
      </c>
      <c r="G64" s="8">
        <v>3.07976E-3</v>
      </c>
    </row>
    <row r="65" spans="1:13" ht="12.75" x14ac:dyDescent="0.2">
      <c r="A65" t="s">
        <v>79</v>
      </c>
      <c r="B65" t="s">
        <v>23</v>
      </c>
      <c r="C65" s="6">
        <v>0.390625</v>
      </c>
      <c r="D65" s="2">
        <v>3.4916299999999997E-2</v>
      </c>
      <c r="E65" s="5">
        <v>6.5584300000000004</v>
      </c>
      <c r="F65" s="2">
        <v>3.4865699999999999E-2</v>
      </c>
      <c r="G65">
        <v>5.0679400000000001E-5</v>
      </c>
    </row>
    <row r="66" spans="1:13" ht="12.75" x14ac:dyDescent="0.2">
      <c r="A66" t="s">
        <v>92</v>
      </c>
      <c r="B66" t="s">
        <v>23</v>
      </c>
      <c r="C66" s="6">
        <v>0.390625</v>
      </c>
      <c r="D66" s="2">
        <v>3.3297100000000003E-2</v>
      </c>
      <c r="F66" s="2">
        <v>3.4865699999999999E-2</v>
      </c>
      <c r="G66" s="8">
        <v>-1.56857E-3</v>
      </c>
    </row>
    <row r="67" spans="1:13" ht="12.75" x14ac:dyDescent="0.2">
      <c r="A67" t="s">
        <v>93</v>
      </c>
      <c r="B67" t="s">
        <v>23</v>
      </c>
      <c r="C67" s="6">
        <v>0.390625</v>
      </c>
      <c r="D67" s="2">
        <v>3.6535600000000001E-2</v>
      </c>
      <c r="F67" s="2">
        <v>3.4865699999999999E-2</v>
      </c>
      <c r="G67" s="8">
        <v>1.66993E-3</v>
      </c>
    </row>
    <row r="68" spans="1:13" ht="12.75" x14ac:dyDescent="0.2">
      <c r="A68" t="s">
        <v>79</v>
      </c>
      <c r="B68" t="s">
        <v>18</v>
      </c>
      <c r="C68" s="6">
        <v>0.19531299999999999</v>
      </c>
      <c r="D68" s="2">
        <v>1.9615799999999999E-2</v>
      </c>
      <c r="E68" s="5">
        <v>7.5051600000000001</v>
      </c>
      <c r="F68" s="2">
        <v>1.7895999999999999E-2</v>
      </c>
      <c r="G68" s="8">
        <v>1.7197600000000001E-3</v>
      </c>
    </row>
    <row r="69" spans="1:13" ht="12.75" x14ac:dyDescent="0.2">
      <c r="A69" t="s">
        <v>94</v>
      </c>
      <c r="B69" t="s">
        <v>18</v>
      </c>
      <c r="C69" s="6">
        <v>0.19531299999999999</v>
      </c>
      <c r="D69" s="2">
        <v>1.8574799999999999E-2</v>
      </c>
      <c r="F69" s="2">
        <v>1.7895999999999999E-2</v>
      </c>
      <c r="G69" s="7">
        <v>6.7876099999999995E-4</v>
      </c>
    </row>
    <row r="70" spans="1:13" ht="12.75" x14ac:dyDescent="0.2">
      <c r="A70" t="s">
        <v>95</v>
      </c>
      <c r="B70" t="s">
        <v>18</v>
      </c>
      <c r="C70" s="6">
        <v>0.19531299999999999</v>
      </c>
      <c r="D70" s="2">
        <v>2.0656799999999999E-2</v>
      </c>
      <c r="F70" s="2">
        <v>1.7895999999999999E-2</v>
      </c>
      <c r="G70" s="8">
        <v>2.7607600000000001E-3</v>
      </c>
    </row>
    <row r="71" spans="1:13" ht="12.75" x14ac:dyDescent="0.2"/>
    <row r="72" spans="1:13" ht="12.75" x14ac:dyDescent="0.2"/>
    <row r="73" spans="1:13" ht="12.75" x14ac:dyDescent="0.2">
      <c r="A73" t="s">
        <v>6</v>
      </c>
    </row>
    <row r="74" spans="1:13" ht="12.75" x14ac:dyDescent="0.2">
      <c r="A74" t="s">
        <v>3</v>
      </c>
    </row>
    <row r="75" spans="1:13" ht="12.75" x14ac:dyDescent="0.2">
      <c r="A75" s="20" t="s">
        <v>96</v>
      </c>
      <c r="B75" s="22">
        <v>1</v>
      </c>
      <c r="C75" s="22">
        <v>2</v>
      </c>
      <c r="D75" s="22">
        <v>3</v>
      </c>
      <c r="E75" s="22">
        <v>4</v>
      </c>
      <c r="F75" s="22">
        <v>5</v>
      </c>
      <c r="G75" s="22">
        <v>6</v>
      </c>
      <c r="H75" s="1"/>
      <c r="I75" s="1"/>
      <c r="J75" s="29"/>
      <c r="K75" s="36" t="s">
        <v>252</v>
      </c>
      <c r="L75" s="36"/>
      <c r="M75" s="29"/>
    </row>
    <row r="76" spans="1:13" ht="12.75" x14ac:dyDescent="0.2">
      <c r="A76" s="20" t="s">
        <v>8</v>
      </c>
      <c r="B76" s="25">
        <v>1.8574799999999999E-2</v>
      </c>
      <c r="C76" s="25">
        <v>2.0656799999999999E-2</v>
      </c>
      <c r="D76" s="20"/>
      <c r="E76" s="23">
        <v>0.40699200000000002</v>
      </c>
      <c r="F76" s="23">
        <v>0.40845199999999998</v>
      </c>
      <c r="G76" s="23">
        <v>0.411856</v>
      </c>
      <c r="J76" s="29"/>
      <c r="K76" s="31"/>
      <c r="L76" s="29"/>
      <c r="M76" s="29"/>
    </row>
    <row r="77" spans="1:13" ht="12.75" x14ac:dyDescent="0.2">
      <c r="A77" s="20" t="s">
        <v>9</v>
      </c>
      <c r="B77" s="25">
        <v>3.3297100000000003E-2</v>
      </c>
      <c r="C77" s="25">
        <v>3.6535600000000001E-2</v>
      </c>
      <c r="D77" s="22">
        <v>-7.3899999999999994E-5</v>
      </c>
      <c r="E77" s="27">
        <v>-1.741E-4</v>
      </c>
      <c r="F77" s="23">
        <v>0.42722500000000002</v>
      </c>
      <c r="G77" s="23">
        <v>0.39737299999999998</v>
      </c>
      <c r="J77" s="21" t="s">
        <v>253</v>
      </c>
      <c r="K77" s="32" t="s">
        <v>254</v>
      </c>
      <c r="L77" s="21" t="s">
        <v>255</v>
      </c>
      <c r="M77" s="21" t="s">
        <v>256</v>
      </c>
    </row>
    <row r="78" spans="1:13" ht="12.75" x14ac:dyDescent="0.2">
      <c r="A78" s="20" t="s">
        <v>10</v>
      </c>
      <c r="B78" s="25">
        <v>6.5615400000000004E-2</v>
      </c>
      <c r="C78" s="25">
        <v>7.3319999999999996E-2</v>
      </c>
      <c r="D78" s="27">
        <v>1.022E-4</v>
      </c>
      <c r="E78" s="22">
        <v>9.7E-5</v>
      </c>
      <c r="F78" s="28">
        <v>5.4257999999999997E-3</v>
      </c>
      <c r="G78" s="23">
        <v>0.12981000000000001</v>
      </c>
      <c r="J78" s="21">
        <v>1</v>
      </c>
      <c r="K78" s="20" t="s">
        <v>97</v>
      </c>
      <c r="L78" s="20" t="e">
        <f>J78*K78</f>
        <v>#VALUE!</v>
      </c>
      <c r="M78" s="21"/>
    </row>
    <row r="79" spans="1:13" ht="12.75" x14ac:dyDescent="0.2">
      <c r="A79" s="20" t="s">
        <v>11</v>
      </c>
      <c r="B79" s="23">
        <v>0.138654</v>
      </c>
      <c r="C79" s="23">
        <v>0.14232800000000001</v>
      </c>
      <c r="D79" s="28">
        <v>-1.1025E-3</v>
      </c>
      <c r="E79" s="28">
        <v>1.4614999999999999E-3</v>
      </c>
      <c r="F79" s="28">
        <v>3.3923999999999998E-3</v>
      </c>
      <c r="G79" s="23">
        <v>0.132441</v>
      </c>
      <c r="J79" s="21">
        <v>4</v>
      </c>
      <c r="K79" s="20" t="s">
        <v>97</v>
      </c>
      <c r="L79" s="20" t="e">
        <f t="shared" ref="L79:L82" si="0">J79*K79</f>
        <v>#VALUE!</v>
      </c>
      <c r="M79" s="21"/>
    </row>
    <row r="80" spans="1:13" ht="12.75" x14ac:dyDescent="0.2">
      <c r="A80" s="20" t="s">
        <v>12</v>
      </c>
      <c r="B80" s="23">
        <v>0.29893900000000001</v>
      </c>
      <c r="C80" s="23">
        <v>0.284939</v>
      </c>
      <c r="D80" s="27">
        <v>9.2420000000000002E-4</v>
      </c>
      <c r="E80" s="28">
        <v>1.4350000000000001E-3</v>
      </c>
      <c r="F80" s="28">
        <v>2.0454000000000002E-3</v>
      </c>
      <c r="G80" s="23">
        <v>0.36266599999999999</v>
      </c>
      <c r="J80" s="21">
        <v>16</v>
      </c>
      <c r="K80" s="20" t="s">
        <v>97</v>
      </c>
      <c r="L80" s="20" t="e">
        <f t="shared" si="0"/>
        <v>#VALUE!</v>
      </c>
      <c r="M80" s="21"/>
    </row>
    <row r="81" spans="1:13" ht="12.75" x14ac:dyDescent="0.2">
      <c r="A81" s="20" t="s">
        <v>13</v>
      </c>
      <c r="B81" s="23">
        <v>0.57042499999999996</v>
      </c>
      <c r="C81" s="23">
        <v>0.59033100000000005</v>
      </c>
      <c r="D81" s="27">
        <v>7.2119999999999997E-4</v>
      </c>
      <c r="E81" s="27">
        <v>7.2329999999999996E-4</v>
      </c>
      <c r="F81" s="28">
        <v>4.5928000000000002E-3</v>
      </c>
      <c r="G81" s="23">
        <v>0.37688700000000003</v>
      </c>
      <c r="J81" s="21">
        <v>64</v>
      </c>
      <c r="K81" s="20" t="s">
        <v>97</v>
      </c>
      <c r="L81" s="20" t="e">
        <f t="shared" si="0"/>
        <v>#VALUE!</v>
      </c>
      <c r="M81" s="21"/>
    </row>
    <row r="82" spans="1:13" ht="12.75" x14ac:dyDescent="0.2">
      <c r="A82" s="20" t="s">
        <v>14</v>
      </c>
      <c r="B82" s="24">
        <v>1.09321</v>
      </c>
      <c r="C82" s="24">
        <v>1.0961700000000001</v>
      </c>
      <c r="D82" s="23">
        <v>0.35935299999999998</v>
      </c>
      <c r="E82" s="23">
        <v>0.34419100000000002</v>
      </c>
      <c r="F82" s="28">
        <v>1.5652999999999999E-3</v>
      </c>
      <c r="G82" s="23">
        <v>0.37915300000000002</v>
      </c>
      <c r="J82" s="21">
        <v>256</v>
      </c>
      <c r="K82" s="20" t="s">
        <v>97</v>
      </c>
      <c r="L82" s="20" t="e">
        <f t="shared" si="0"/>
        <v>#VALUE!</v>
      </c>
      <c r="M82" s="21"/>
    </row>
    <row r="83" spans="1:13" ht="12.75" x14ac:dyDescent="0.2">
      <c r="A83" s="20" t="s">
        <v>15</v>
      </c>
      <c r="B83" s="24">
        <v>1.91557</v>
      </c>
      <c r="C83" s="24">
        <v>1.9089799999999999</v>
      </c>
      <c r="D83" s="23">
        <v>0.43996200000000002</v>
      </c>
      <c r="E83" s="23">
        <v>0.46060299999999998</v>
      </c>
      <c r="F83" s="23">
        <v>0.41141899999999998</v>
      </c>
      <c r="G83" s="23">
        <v>0.45892699999999997</v>
      </c>
      <c r="J83" s="29"/>
      <c r="K83" s="31"/>
      <c r="L83" s="29"/>
      <c r="M83" s="29"/>
    </row>
    <row r="84" spans="1:13" ht="12.75" x14ac:dyDescent="0.2">
      <c r="J84" s="21"/>
      <c r="K84" s="32" t="s">
        <v>257</v>
      </c>
      <c r="L84" s="21" t="s">
        <v>258</v>
      </c>
      <c r="M84" s="21" t="s">
        <v>256</v>
      </c>
    </row>
    <row r="85" spans="1:13" ht="12.75" x14ac:dyDescent="0.2">
      <c r="A85" s="20" t="s">
        <v>74</v>
      </c>
      <c r="B85" s="22">
        <v>1</v>
      </c>
      <c r="C85" s="22">
        <v>2</v>
      </c>
      <c r="D85" s="22">
        <v>3</v>
      </c>
      <c r="E85" s="22">
        <v>4</v>
      </c>
      <c r="F85" s="22">
        <v>5</v>
      </c>
      <c r="G85" s="22">
        <v>6</v>
      </c>
      <c r="H85" s="1"/>
      <c r="I85" s="1"/>
      <c r="J85" s="21" t="s">
        <v>259</v>
      </c>
      <c r="K85" s="34">
        <v>5</v>
      </c>
      <c r="L85" s="20">
        <v>3.7719550000000002</v>
      </c>
      <c r="M85" s="21">
        <f>(L85/K85)*100</f>
        <v>75.439099999999996</v>
      </c>
    </row>
    <row r="86" spans="1:13" ht="12.75" x14ac:dyDescent="0.2">
      <c r="A86" s="20" t="s">
        <v>8</v>
      </c>
      <c r="B86" s="23">
        <v>0.20331399999999999</v>
      </c>
      <c r="C86" s="23">
        <v>0.22772999999999999</v>
      </c>
      <c r="D86" s="20"/>
      <c r="E86" s="24">
        <v>4.3654400000000004</v>
      </c>
      <c r="F86" s="24">
        <v>4.3812100000000003</v>
      </c>
      <c r="G86" s="24">
        <v>4.4179899999999996</v>
      </c>
      <c r="J86" s="21" t="s">
        <v>260</v>
      </c>
      <c r="K86" s="34">
        <v>5</v>
      </c>
      <c r="L86" s="20">
        <v>4.8350499999999998</v>
      </c>
      <c r="M86" s="21">
        <f t="shared" ref="M86:M88" si="1">(L86/K86)*100</f>
        <v>96.700999999999993</v>
      </c>
    </row>
    <row r="87" spans="1:13" ht="12.75" x14ac:dyDescent="0.2">
      <c r="A87" s="20" t="s">
        <v>9</v>
      </c>
      <c r="B87" s="23">
        <v>0.372892</v>
      </c>
      <c r="C87" s="23">
        <v>0.40945100000000001</v>
      </c>
      <c r="D87" s="20" t="s">
        <v>97</v>
      </c>
      <c r="E87" s="20" t="s">
        <v>97</v>
      </c>
      <c r="F87" s="24">
        <v>4.5843800000000003</v>
      </c>
      <c r="G87" s="24">
        <v>4.2616399999999999</v>
      </c>
      <c r="J87" s="21" t="s">
        <v>261</v>
      </c>
      <c r="K87" s="34">
        <v>5</v>
      </c>
      <c r="L87" s="20">
        <v>4.3995999999999995</v>
      </c>
      <c r="M87" s="21">
        <f t="shared" si="1"/>
        <v>87.99199999999999</v>
      </c>
    </row>
    <row r="88" spans="1:13" ht="12.75" x14ac:dyDescent="0.2">
      <c r="A88" s="20" t="s">
        <v>10</v>
      </c>
      <c r="B88" s="23">
        <v>0.73091700000000004</v>
      </c>
      <c r="C88" s="23">
        <v>0.81467999999999996</v>
      </c>
      <c r="D88" s="20" t="s">
        <v>97</v>
      </c>
      <c r="E88" s="20" t="s">
        <v>97</v>
      </c>
      <c r="F88" s="25">
        <v>4.2196400000000002E-2</v>
      </c>
      <c r="G88" s="24">
        <v>1.41974</v>
      </c>
      <c r="J88" s="21" t="s">
        <v>262</v>
      </c>
      <c r="K88" s="34">
        <v>5</v>
      </c>
      <c r="L88" s="21">
        <v>4.4230099999999997</v>
      </c>
      <c r="M88" s="21">
        <f t="shared" si="1"/>
        <v>88.460199999999986</v>
      </c>
    </row>
    <row r="89" spans="1:13" ht="12.75" x14ac:dyDescent="0.2">
      <c r="A89" s="20" t="s">
        <v>11</v>
      </c>
      <c r="B89" s="24">
        <v>1.51359</v>
      </c>
      <c r="C89" s="24">
        <v>1.55254</v>
      </c>
      <c r="D89" s="20" t="s">
        <v>97</v>
      </c>
      <c r="E89" s="20" t="s">
        <v>97</v>
      </c>
      <c r="F89" s="25">
        <v>1.46334E-2</v>
      </c>
      <c r="G89" s="24">
        <v>1.44767</v>
      </c>
      <c r="J89" s="29"/>
      <c r="K89" s="31"/>
      <c r="L89" s="29"/>
      <c r="M89" s="29"/>
    </row>
    <row r="90" spans="1:13" ht="12.75" x14ac:dyDescent="0.2">
      <c r="A90" s="20" t="s">
        <v>12</v>
      </c>
      <c r="B90" s="24">
        <v>3.2087500000000002</v>
      </c>
      <c r="C90" s="24">
        <v>3.0601400000000001</v>
      </c>
      <c r="D90" s="20" t="s">
        <v>97</v>
      </c>
      <c r="E90" s="20" t="s">
        <v>97</v>
      </c>
      <c r="F90" s="20" t="s">
        <v>97</v>
      </c>
      <c r="G90" s="24">
        <v>3.8885700000000001</v>
      </c>
      <c r="J90" s="29"/>
      <c r="K90" s="33" t="s">
        <v>263</v>
      </c>
      <c r="L90" s="30"/>
      <c r="M90" s="29"/>
    </row>
    <row r="91" spans="1:13" ht="12.75" x14ac:dyDescent="0.2">
      <c r="A91" s="20" t="s">
        <v>13</v>
      </c>
      <c r="B91" s="24">
        <v>6.1607500000000002</v>
      </c>
      <c r="C91" s="24">
        <v>6.3840199999999996</v>
      </c>
      <c r="D91" s="20" t="s">
        <v>97</v>
      </c>
      <c r="E91" s="20" t="s">
        <v>97</v>
      </c>
      <c r="F91" s="25">
        <v>3.1138599999999999E-2</v>
      </c>
      <c r="G91" s="24">
        <v>4.0411599999999996</v>
      </c>
      <c r="J91" s="29"/>
      <c r="K91" s="31"/>
      <c r="L91" s="29"/>
      <c r="M91" s="29"/>
    </row>
    <row r="92" spans="1:13" ht="12.75" x14ac:dyDescent="0.2">
      <c r="A92" s="20" t="s">
        <v>14</v>
      </c>
      <c r="B92" s="26">
        <v>12.462999999999999</v>
      </c>
      <c r="C92" s="26">
        <v>12.5017</v>
      </c>
      <c r="D92" s="24">
        <v>3.8530700000000002</v>
      </c>
      <c r="E92" s="24">
        <v>3.6908400000000001</v>
      </c>
      <c r="F92" s="20" t="s">
        <v>97</v>
      </c>
      <c r="G92" s="24">
        <v>4.0655099999999997</v>
      </c>
      <c r="J92" s="21" t="s">
        <v>253</v>
      </c>
      <c r="K92" s="32" t="s">
        <v>254</v>
      </c>
      <c r="L92" s="21" t="s">
        <v>255</v>
      </c>
      <c r="M92" s="21" t="s">
        <v>256</v>
      </c>
    </row>
    <row r="93" spans="1:13" ht="12.75" x14ac:dyDescent="0.2">
      <c r="A93" s="20" t="s">
        <v>15</v>
      </c>
      <c r="B93" s="26">
        <v>25.0641</v>
      </c>
      <c r="C93" s="26">
        <v>24.9453</v>
      </c>
      <c r="D93" s="24">
        <v>4.7226499999999998</v>
      </c>
      <c r="E93" s="24">
        <v>4.9474499999999999</v>
      </c>
      <c r="F93" s="24">
        <v>4.4132800000000003</v>
      </c>
      <c r="G93" s="24">
        <v>4.9291700000000001</v>
      </c>
      <c r="J93" s="21">
        <v>1</v>
      </c>
      <c r="K93" s="32">
        <v>4.2196400000000002E-2</v>
      </c>
      <c r="L93" s="21">
        <f>J93*K93</f>
        <v>4.2196400000000002E-2</v>
      </c>
      <c r="M93" s="21"/>
    </row>
    <row r="94" spans="1:13" ht="12.75" x14ac:dyDescent="0.2">
      <c r="J94" s="21">
        <v>4</v>
      </c>
      <c r="K94" s="32">
        <v>1.46334E-2</v>
      </c>
      <c r="L94" s="21">
        <f t="shared" ref="L94:L97" si="2">J94*K94</f>
        <v>5.8533599999999998E-2</v>
      </c>
      <c r="M94" s="21"/>
    </row>
    <row r="95" spans="1:13" ht="12.75" x14ac:dyDescent="0.2">
      <c r="A95" s="20" t="s">
        <v>17</v>
      </c>
      <c r="B95" s="22">
        <v>1</v>
      </c>
      <c r="C95" s="22">
        <v>2</v>
      </c>
      <c r="D95" s="22">
        <v>3</v>
      </c>
      <c r="E95" s="22">
        <v>4</v>
      </c>
      <c r="F95" s="22">
        <v>5</v>
      </c>
      <c r="G95" s="22">
        <v>6</v>
      </c>
      <c r="H95" s="1"/>
      <c r="I95" s="1"/>
      <c r="J95" s="21">
        <v>16</v>
      </c>
      <c r="K95" s="32" t="s">
        <v>97</v>
      </c>
      <c r="L95" s="21" t="e">
        <f t="shared" si="2"/>
        <v>#VALUE!</v>
      </c>
      <c r="M95" s="21"/>
    </row>
    <row r="96" spans="1:13" ht="12.75" x14ac:dyDescent="0.2">
      <c r="A96" s="20" t="s">
        <v>8</v>
      </c>
      <c r="B96" s="20" t="s">
        <v>235</v>
      </c>
      <c r="C96" s="20" t="s">
        <v>235</v>
      </c>
      <c r="D96" s="20" t="s">
        <v>19</v>
      </c>
      <c r="E96" s="21" t="s">
        <v>251</v>
      </c>
      <c r="F96" s="21" t="s">
        <v>244</v>
      </c>
      <c r="G96" s="21" t="s">
        <v>243</v>
      </c>
      <c r="J96" s="21">
        <v>64</v>
      </c>
      <c r="K96" s="32">
        <v>3.1138599999999999E-2</v>
      </c>
      <c r="L96" s="21">
        <f t="shared" si="2"/>
        <v>1.9928703999999999</v>
      </c>
      <c r="M96" s="21"/>
    </row>
    <row r="97" spans="1:16" ht="12.75" x14ac:dyDescent="0.2">
      <c r="A97" s="20" t="s">
        <v>9</v>
      </c>
      <c r="B97" s="20" t="s">
        <v>234</v>
      </c>
      <c r="C97" s="20" t="s">
        <v>234</v>
      </c>
      <c r="D97" s="20" t="s">
        <v>236</v>
      </c>
      <c r="E97" s="20" t="s">
        <v>236</v>
      </c>
      <c r="F97" s="21" t="s">
        <v>245</v>
      </c>
      <c r="G97" s="21" t="s">
        <v>245</v>
      </c>
      <c r="J97" s="21">
        <v>256</v>
      </c>
      <c r="K97" s="20" t="s">
        <v>97</v>
      </c>
      <c r="L97" s="21" t="e">
        <f t="shared" si="2"/>
        <v>#VALUE!</v>
      </c>
      <c r="M97" s="21"/>
    </row>
    <row r="98" spans="1:16" ht="12.75" x14ac:dyDescent="0.2">
      <c r="A98" s="20" t="s">
        <v>10</v>
      </c>
      <c r="B98" s="20" t="s">
        <v>233</v>
      </c>
      <c r="C98" s="20" t="s">
        <v>233</v>
      </c>
      <c r="D98" s="20" t="s">
        <v>237</v>
      </c>
      <c r="E98" s="20" t="s">
        <v>237</v>
      </c>
      <c r="F98" s="20" t="s">
        <v>246</v>
      </c>
      <c r="G98" s="20" t="s">
        <v>272</v>
      </c>
      <c r="J98" s="29"/>
      <c r="K98" s="31"/>
      <c r="L98" s="29"/>
      <c r="M98" s="29"/>
    </row>
    <row r="99" spans="1:16" ht="12.75" x14ac:dyDescent="0.2">
      <c r="A99" s="20" t="s">
        <v>11</v>
      </c>
      <c r="B99" s="20" t="s">
        <v>232</v>
      </c>
      <c r="C99" s="20" t="s">
        <v>232</v>
      </c>
      <c r="D99" s="20" t="s">
        <v>238</v>
      </c>
      <c r="E99" s="20" t="s">
        <v>238</v>
      </c>
      <c r="F99" s="20" t="s">
        <v>247</v>
      </c>
      <c r="G99" s="20" t="s">
        <v>272</v>
      </c>
      <c r="J99" s="21"/>
      <c r="K99" s="32" t="s">
        <v>257</v>
      </c>
      <c r="L99" s="21" t="s">
        <v>258</v>
      </c>
      <c r="M99" s="21" t="s">
        <v>256</v>
      </c>
    </row>
    <row r="100" spans="1:16" ht="12.75" x14ac:dyDescent="0.2">
      <c r="A100" s="20" t="s">
        <v>12</v>
      </c>
      <c r="B100" s="20" t="s">
        <v>231</v>
      </c>
      <c r="C100" s="20" t="s">
        <v>231</v>
      </c>
      <c r="D100" s="20" t="s">
        <v>239</v>
      </c>
      <c r="E100" s="20" t="s">
        <v>239</v>
      </c>
      <c r="F100" s="20" t="s">
        <v>248</v>
      </c>
      <c r="G100" s="20" t="s">
        <v>271</v>
      </c>
      <c r="J100" s="21" t="s">
        <v>264</v>
      </c>
      <c r="K100" s="32">
        <v>5.0379767600000003</v>
      </c>
      <c r="L100" s="32">
        <v>4.3654400000000004</v>
      </c>
      <c r="M100" s="21">
        <f>(L100/K100)*100</f>
        <v>86.650657753331913</v>
      </c>
    </row>
    <row r="101" spans="1:16" ht="12.75" x14ac:dyDescent="0.2">
      <c r="A101" s="20" t="s">
        <v>13</v>
      </c>
      <c r="B101" s="20" t="s">
        <v>230</v>
      </c>
      <c r="C101" s="20" t="s">
        <v>230</v>
      </c>
      <c r="D101" s="20" t="s">
        <v>240</v>
      </c>
      <c r="E101" s="20" t="s">
        <v>240</v>
      </c>
      <c r="F101" s="20" t="s">
        <v>249</v>
      </c>
      <c r="G101" s="20" t="s">
        <v>271</v>
      </c>
      <c r="J101" s="21" t="s">
        <v>265</v>
      </c>
      <c r="K101" s="34">
        <v>5</v>
      </c>
      <c r="L101" s="32">
        <v>4.0655099999999997</v>
      </c>
      <c r="M101" s="21">
        <f t="shared" ref="M101:M103" si="3">(L101/K101)*100</f>
        <v>81.310199999999995</v>
      </c>
    </row>
    <row r="102" spans="1:16" ht="12.75" x14ac:dyDescent="0.2">
      <c r="A102" s="20" t="s">
        <v>14</v>
      </c>
      <c r="B102" s="20" t="s">
        <v>228</v>
      </c>
      <c r="C102" s="20" t="s">
        <v>228</v>
      </c>
      <c r="D102" s="21" t="s">
        <v>241</v>
      </c>
      <c r="E102" s="20" t="s">
        <v>241</v>
      </c>
      <c r="F102" s="20" t="s">
        <v>250</v>
      </c>
      <c r="G102" s="21" t="s">
        <v>268</v>
      </c>
      <c r="J102" s="21" t="s">
        <v>266</v>
      </c>
      <c r="K102" s="32">
        <v>5.0280247400000002</v>
      </c>
      <c r="L102" s="32">
        <v>4.4132800000000003</v>
      </c>
      <c r="M102" s="21">
        <f t="shared" si="3"/>
        <v>87.773633349306081</v>
      </c>
    </row>
    <row r="103" spans="1:16" ht="12.75" x14ac:dyDescent="0.2">
      <c r="A103" s="20" t="s">
        <v>15</v>
      </c>
      <c r="B103" s="20" t="s">
        <v>229</v>
      </c>
      <c r="C103" s="20" t="s">
        <v>229</v>
      </c>
      <c r="D103" s="21" t="s">
        <v>242</v>
      </c>
      <c r="E103" s="20" t="s">
        <v>242</v>
      </c>
      <c r="F103" s="21" t="s">
        <v>269</v>
      </c>
      <c r="G103" s="21" t="s">
        <v>270</v>
      </c>
      <c r="J103" s="21" t="s">
        <v>267</v>
      </c>
      <c r="K103" s="34">
        <v>5</v>
      </c>
      <c r="L103" s="32">
        <v>4.9291700000000001</v>
      </c>
      <c r="M103" s="21">
        <f t="shared" si="3"/>
        <v>98.583399999999997</v>
      </c>
      <c r="P103" t="s">
        <v>3</v>
      </c>
    </row>
    <row r="105" spans="1:16" ht="12.75" x14ac:dyDescent="0.2">
      <c r="A105" t="s">
        <v>114</v>
      </c>
    </row>
  </sheetData>
  <mergeCells count="1">
    <mergeCell ref="K75:L7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115</v>
      </c>
    </row>
    <row r="3" spans="1:5" ht="15" customHeight="1" x14ac:dyDescent="0.2">
      <c r="B3" t="s">
        <v>116</v>
      </c>
      <c r="E3" t="s">
        <v>117</v>
      </c>
    </row>
    <row r="4" spans="1:5" ht="15" customHeight="1" x14ac:dyDescent="0.2">
      <c r="B4" t="s">
        <v>118</v>
      </c>
      <c r="E4" t="s">
        <v>119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3.28515625" customWidth="1"/>
  </cols>
  <sheetData>
    <row r="1" spans="1:5" ht="15" customHeight="1" x14ac:dyDescent="0.2">
      <c r="A1" t="s">
        <v>120</v>
      </c>
    </row>
    <row r="3" spans="1:5" ht="15" customHeight="1" x14ac:dyDescent="0.2">
      <c r="B3" t="s">
        <v>121</v>
      </c>
      <c r="E3" t="s">
        <v>1</v>
      </c>
    </row>
    <row r="4" spans="1:5" ht="15" customHeight="1" x14ac:dyDescent="0.2">
      <c r="B4" t="s">
        <v>122</v>
      </c>
      <c r="E4" t="s">
        <v>123</v>
      </c>
    </row>
    <row r="5" spans="1:5" ht="15" customHeight="1" x14ac:dyDescent="0.2">
      <c r="B5" t="s">
        <v>124</v>
      </c>
      <c r="E5" t="s">
        <v>125</v>
      </c>
    </row>
    <row r="6" spans="1:5" ht="15" customHeight="1" x14ac:dyDescent="0.2">
      <c r="B6" t="s">
        <v>126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Instrument information"/>
  <dimension ref="A1:E93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127</v>
      </c>
    </row>
    <row r="3" spans="1:5" ht="15" customHeight="1" x14ac:dyDescent="0.2">
      <c r="B3" t="s">
        <v>128</v>
      </c>
      <c r="E3" t="s">
        <v>129</v>
      </c>
    </row>
    <row r="4" spans="1:5" ht="15" customHeight="1" x14ac:dyDescent="0.2">
      <c r="B4" t="s">
        <v>130</v>
      </c>
      <c r="E4" t="s">
        <v>131</v>
      </c>
    </row>
    <row r="5" spans="1:5" ht="15" customHeight="1" x14ac:dyDescent="0.2">
      <c r="B5" t="s">
        <v>132</v>
      </c>
      <c r="E5" t="s">
        <v>133</v>
      </c>
    </row>
    <row r="7" spans="1:5" ht="15" customHeight="1" x14ac:dyDescent="0.2">
      <c r="B7" t="s">
        <v>134</v>
      </c>
    </row>
    <row r="9" spans="1:5" ht="15" customHeight="1" x14ac:dyDescent="0.2">
      <c r="B9" t="s">
        <v>135</v>
      </c>
    </row>
    <row r="10" spans="1:5" ht="15" customHeight="1" x14ac:dyDescent="0.2">
      <c r="C10" t="s">
        <v>136</v>
      </c>
      <c r="E10" t="s">
        <v>137</v>
      </c>
    </row>
    <row r="11" spans="1:5" ht="15" customHeight="1" x14ac:dyDescent="0.2">
      <c r="C11" t="s">
        <v>128</v>
      </c>
      <c r="E11" t="s">
        <v>138</v>
      </c>
    </row>
    <row r="12" spans="1:5" ht="15" customHeight="1" x14ac:dyDescent="0.2">
      <c r="C12" t="s">
        <v>139</v>
      </c>
      <c r="E12" t="s">
        <v>140</v>
      </c>
    </row>
    <row r="13" spans="1:5" ht="15" customHeight="1" x14ac:dyDescent="0.2">
      <c r="C13" t="s">
        <v>141</v>
      </c>
      <c r="E13" t="s">
        <v>142</v>
      </c>
    </row>
    <row r="14" spans="1:5" ht="15" customHeight="1" x14ac:dyDescent="0.2">
      <c r="C14" t="s">
        <v>143</v>
      </c>
      <c r="E14" t="s">
        <v>144</v>
      </c>
    </row>
    <row r="15" spans="1:5" ht="15" customHeight="1" x14ac:dyDescent="0.2">
      <c r="C15" t="s">
        <v>145</v>
      </c>
      <c r="E15" t="s">
        <v>146</v>
      </c>
    </row>
    <row r="17" spans="2:5" ht="15" customHeight="1" x14ac:dyDescent="0.2">
      <c r="B17" t="s">
        <v>135</v>
      </c>
    </row>
    <row r="18" spans="2:5" ht="15" customHeight="1" x14ac:dyDescent="0.2">
      <c r="C18" t="s">
        <v>136</v>
      </c>
      <c r="E18" t="s">
        <v>147</v>
      </c>
    </row>
    <row r="19" spans="2:5" ht="15" customHeight="1" x14ac:dyDescent="0.2">
      <c r="C19" t="s">
        <v>128</v>
      </c>
      <c r="E19" t="s">
        <v>148</v>
      </c>
    </row>
    <row r="20" spans="2:5" ht="15" customHeight="1" x14ac:dyDescent="0.2">
      <c r="C20" t="s">
        <v>139</v>
      </c>
      <c r="E20" t="s">
        <v>149</v>
      </c>
    </row>
    <row r="21" spans="2:5" ht="15" customHeight="1" x14ac:dyDescent="0.2">
      <c r="C21" t="s">
        <v>141</v>
      </c>
      <c r="E21" t="s">
        <v>150</v>
      </c>
    </row>
    <row r="22" spans="2:5" ht="15" customHeight="1" x14ac:dyDescent="0.2">
      <c r="C22" t="s">
        <v>143</v>
      </c>
      <c r="E22" t="s">
        <v>144</v>
      </c>
    </row>
    <row r="23" spans="2:5" ht="15" customHeight="1" x14ac:dyDescent="0.2">
      <c r="C23" t="s">
        <v>145</v>
      </c>
      <c r="E23" t="s">
        <v>146</v>
      </c>
    </row>
    <row r="25" spans="2:5" ht="15" customHeight="1" x14ac:dyDescent="0.2">
      <c r="B25" t="s">
        <v>135</v>
      </c>
    </row>
    <row r="26" spans="2:5" ht="15" customHeight="1" x14ac:dyDescent="0.2">
      <c r="C26" t="s">
        <v>136</v>
      </c>
      <c r="E26" t="s">
        <v>151</v>
      </c>
    </row>
    <row r="27" spans="2:5" ht="15" customHeight="1" x14ac:dyDescent="0.2">
      <c r="C27" t="s">
        <v>128</v>
      </c>
      <c r="E27" t="s">
        <v>152</v>
      </c>
    </row>
    <row r="28" spans="2:5" ht="15" customHeight="1" x14ac:dyDescent="0.2">
      <c r="C28" t="s">
        <v>139</v>
      </c>
      <c r="E28" t="s">
        <v>153</v>
      </c>
    </row>
    <row r="29" spans="2:5" ht="15" customHeight="1" x14ac:dyDescent="0.2">
      <c r="C29" t="s">
        <v>141</v>
      </c>
      <c r="E29" t="s">
        <v>150</v>
      </c>
    </row>
    <row r="30" spans="2:5" ht="15" customHeight="1" x14ac:dyDescent="0.2">
      <c r="C30" t="s">
        <v>143</v>
      </c>
      <c r="E30" t="s">
        <v>144</v>
      </c>
    </row>
    <row r="31" spans="2:5" ht="15" customHeight="1" x14ac:dyDescent="0.2">
      <c r="C31" t="s">
        <v>145</v>
      </c>
      <c r="E31" t="s">
        <v>146</v>
      </c>
    </row>
    <row r="33" spans="2:5" ht="15" customHeight="1" x14ac:dyDescent="0.2">
      <c r="B33" t="s">
        <v>154</v>
      </c>
    </row>
    <row r="34" spans="2:5" ht="15" customHeight="1" x14ac:dyDescent="0.2">
      <c r="C34" t="s">
        <v>155</v>
      </c>
      <c r="E34" t="s">
        <v>156</v>
      </c>
    </row>
    <row r="35" spans="2:5" ht="15" customHeight="1" x14ac:dyDescent="0.2">
      <c r="C35" t="s">
        <v>128</v>
      </c>
      <c r="E35" t="s">
        <v>157</v>
      </c>
    </row>
    <row r="36" spans="2:5" ht="15" customHeight="1" x14ac:dyDescent="0.2">
      <c r="C36" t="s">
        <v>158</v>
      </c>
      <c r="E36" t="s">
        <v>159</v>
      </c>
    </row>
    <row r="37" spans="2:5" ht="15" customHeight="1" x14ac:dyDescent="0.2">
      <c r="C37" t="s">
        <v>141</v>
      </c>
      <c r="E37" t="s">
        <v>160</v>
      </c>
    </row>
    <row r="38" spans="2:5" ht="15" customHeight="1" x14ac:dyDescent="0.2">
      <c r="C38" t="s">
        <v>143</v>
      </c>
      <c r="E38" t="s">
        <v>144</v>
      </c>
    </row>
    <row r="39" spans="2:5" ht="12.75" x14ac:dyDescent="0.2">
      <c r="C39" t="s">
        <v>145</v>
      </c>
      <c r="E39" t="s">
        <v>146</v>
      </c>
    </row>
    <row r="40" spans="2:5" ht="12.75" x14ac:dyDescent="0.2"/>
    <row r="41" spans="2:5" ht="12.75" x14ac:dyDescent="0.2">
      <c r="B41" t="s">
        <v>154</v>
      </c>
    </row>
    <row r="42" spans="2:5" ht="12.75" x14ac:dyDescent="0.2">
      <c r="C42" t="s">
        <v>155</v>
      </c>
      <c r="E42" t="s">
        <v>161</v>
      </c>
    </row>
    <row r="43" spans="2:5" ht="12.75" x14ac:dyDescent="0.2">
      <c r="C43" t="s">
        <v>128</v>
      </c>
      <c r="E43" t="s">
        <v>162</v>
      </c>
    </row>
    <row r="44" spans="2:5" ht="12.75" x14ac:dyDescent="0.2">
      <c r="C44" t="s">
        <v>158</v>
      </c>
      <c r="E44" t="s">
        <v>163</v>
      </c>
    </row>
    <row r="45" spans="2:5" ht="12.75" x14ac:dyDescent="0.2">
      <c r="C45" t="s">
        <v>141</v>
      </c>
      <c r="E45" t="s">
        <v>150</v>
      </c>
    </row>
    <row r="46" spans="2:5" ht="12.75" x14ac:dyDescent="0.2">
      <c r="C46" t="s">
        <v>143</v>
      </c>
      <c r="E46" t="s">
        <v>144</v>
      </c>
    </row>
    <row r="47" spans="2:5" ht="12.75" x14ac:dyDescent="0.2">
      <c r="C47" t="s">
        <v>145</v>
      </c>
      <c r="E47" t="s">
        <v>146</v>
      </c>
    </row>
    <row r="48" spans="2:5" ht="12.75" x14ac:dyDescent="0.2"/>
    <row r="49" spans="2:5" ht="12.75" x14ac:dyDescent="0.2">
      <c r="B49" t="s">
        <v>154</v>
      </c>
    </row>
    <row r="50" spans="2:5" ht="12.75" x14ac:dyDescent="0.2">
      <c r="C50" t="s">
        <v>155</v>
      </c>
      <c r="E50" t="s">
        <v>164</v>
      </c>
    </row>
    <row r="51" spans="2:5" ht="12.75" x14ac:dyDescent="0.2">
      <c r="C51" t="s">
        <v>128</v>
      </c>
      <c r="E51" t="s">
        <v>165</v>
      </c>
    </row>
    <row r="52" spans="2:5" ht="12.75" x14ac:dyDescent="0.2">
      <c r="C52" t="s">
        <v>158</v>
      </c>
      <c r="E52" t="s">
        <v>166</v>
      </c>
    </row>
    <row r="53" spans="2:5" ht="12.75" x14ac:dyDescent="0.2">
      <c r="C53" t="s">
        <v>141</v>
      </c>
      <c r="E53" t="s">
        <v>167</v>
      </c>
    </row>
    <row r="54" spans="2:5" ht="12.75" x14ac:dyDescent="0.2">
      <c r="C54" t="s">
        <v>143</v>
      </c>
      <c r="E54" t="s">
        <v>144</v>
      </c>
    </row>
    <row r="55" spans="2:5" ht="12.75" x14ac:dyDescent="0.2">
      <c r="C55" t="s">
        <v>145</v>
      </c>
      <c r="E55" t="s">
        <v>146</v>
      </c>
    </row>
    <row r="56" spans="2:5" ht="12.75" x14ac:dyDescent="0.2"/>
    <row r="57" spans="2:5" ht="12.75" x14ac:dyDescent="0.2">
      <c r="B57" t="s">
        <v>168</v>
      </c>
    </row>
    <row r="58" spans="2:5" ht="12.75" x14ac:dyDescent="0.2">
      <c r="C58" t="s">
        <v>128</v>
      </c>
      <c r="E58" t="s">
        <v>169</v>
      </c>
    </row>
    <row r="59" spans="2:5" ht="12.75" x14ac:dyDescent="0.2">
      <c r="C59" t="s">
        <v>136</v>
      </c>
      <c r="E59" t="s">
        <v>137</v>
      </c>
    </row>
    <row r="60" spans="2:5" ht="12.75" x14ac:dyDescent="0.2">
      <c r="C60" t="s">
        <v>128</v>
      </c>
      <c r="E60" t="s">
        <v>138</v>
      </c>
    </row>
    <row r="61" spans="2:5" ht="12.75" x14ac:dyDescent="0.2">
      <c r="C61" t="s">
        <v>139</v>
      </c>
      <c r="E61" t="s">
        <v>140</v>
      </c>
    </row>
    <row r="62" spans="2:5" ht="12.75" x14ac:dyDescent="0.2">
      <c r="C62" t="s">
        <v>155</v>
      </c>
      <c r="E62" t="s">
        <v>156</v>
      </c>
    </row>
    <row r="63" spans="2:5" ht="12.75" x14ac:dyDescent="0.2">
      <c r="C63" t="s">
        <v>128</v>
      </c>
      <c r="E63" t="s">
        <v>157</v>
      </c>
    </row>
    <row r="64" spans="2:5" ht="12.75" x14ac:dyDescent="0.2">
      <c r="C64" t="s">
        <v>158</v>
      </c>
      <c r="E64" t="s">
        <v>159</v>
      </c>
    </row>
    <row r="65" spans="2:5" ht="12.75" x14ac:dyDescent="0.2">
      <c r="C65" t="s">
        <v>143</v>
      </c>
      <c r="E65" t="s">
        <v>144</v>
      </c>
    </row>
    <row r="66" spans="2:5" ht="12.75" x14ac:dyDescent="0.2">
      <c r="C66" t="s">
        <v>170</v>
      </c>
      <c r="E66" t="s">
        <v>171</v>
      </c>
    </row>
    <row r="67" spans="2:5" ht="12.75" x14ac:dyDescent="0.2"/>
    <row r="68" spans="2:5" ht="12.75" x14ac:dyDescent="0.2">
      <c r="B68" t="s">
        <v>168</v>
      </c>
    </row>
    <row r="69" spans="2:5" ht="12.75" x14ac:dyDescent="0.2">
      <c r="C69" t="s">
        <v>128</v>
      </c>
      <c r="E69" t="s">
        <v>172</v>
      </c>
    </row>
    <row r="70" spans="2:5" ht="12.75" x14ac:dyDescent="0.2">
      <c r="C70" t="s">
        <v>136</v>
      </c>
      <c r="E70" t="s">
        <v>147</v>
      </c>
    </row>
    <row r="71" spans="2:5" ht="12.75" x14ac:dyDescent="0.2">
      <c r="C71" t="s">
        <v>128</v>
      </c>
      <c r="E71" t="s">
        <v>148</v>
      </c>
    </row>
    <row r="72" spans="2:5" ht="12.75" x14ac:dyDescent="0.2">
      <c r="C72" t="s">
        <v>139</v>
      </c>
      <c r="E72" t="s">
        <v>149</v>
      </c>
    </row>
    <row r="73" spans="2:5" ht="12.75" x14ac:dyDescent="0.2">
      <c r="C73" t="s">
        <v>155</v>
      </c>
      <c r="E73" t="s">
        <v>161</v>
      </c>
    </row>
    <row r="74" spans="2:5" ht="12.75" x14ac:dyDescent="0.2">
      <c r="C74" t="s">
        <v>128</v>
      </c>
      <c r="E74" t="s">
        <v>162</v>
      </c>
    </row>
    <row r="75" spans="2:5" ht="12.75" x14ac:dyDescent="0.2">
      <c r="C75" t="s">
        <v>158</v>
      </c>
      <c r="E75" t="s">
        <v>163</v>
      </c>
    </row>
    <row r="76" spans="2:5" ht="12.75" x14ac:dyDescent="0.2">
      <c r="C76" t="s">
        <v>143</v>
      </c>
      <c r="E76" t="s">
        <v>144</v>
      </c>
    </row>
    <row r="77" spans="2:5" ht="12.75" x14ac:dyDescent="0.2">
      <c r="C77" t="s">
        <v>170</v>
      </c>
      <c r="E77" t="s">
        <v>171</v>
      </c>
    </row>
    <row r="78" spans="2:5" ht="12.75" x14ac:dyDescent="0.2"/>
    <row r="79" spans="2:5" ht="12.75" x14ac:dyDescent="0.2">
      <c r="B79" t="s">
        <v>168</v>
      </c>
    </row>
    <row r="80" spans="2:5" ht="12.75" x14ac:dyDescent="0.2">
      <c r="C80" t="s">
        <v>128</v>
      </c>
      <c r="E80" t="s">
        <v>173</v>
      </c>
    </row>
    <row r="81" spans="3:5" ht="12.75" x14ac:dyDescent="0.2">
      <c r="C81" t="s">
        <v>136</v>
      </c>
      <c r="E81" t="s">
        <v>151</v>
      </c>
    </row>
    <row r="82" spans="3:5" ht="12.75" x14ac:dyDescent="0.2">
      <c r="C82" t="s">
        <v>128</v>
      </c>
      <c r="E82" t="s">
        <v>152</v>
      </c>
    </row>
    <row r="83" spans="3:5" ht="12.75" x14ac:dyDescent="0.2">
      <c r="C83" t="s">
        <v>139</v>
      </c>
      <c r="E83" t="s">
        <v>153</v>
      </c>
    </row>
    <row r="84" spans="3:5" ht="12.75" x14ac:dyDescent="0.2">
      <c r="C84" t="s">
        <v>155</v>
      </c>
      <c r="E84" t="s">
        <v>164</v>
      </c>
    </row>
    <row r="85" spans="3:5" ht="12.75" x14ac:dyDescent="0.2">
      <c r="C85" t="s">
        <v>128</v>
      </c>
      <c r="E85" t="s">
        <v>165</v>
      </c>
    </row>
    <row r="86" spans="3:5" ht="12.75" x14ac:dyDescent="0.2">
      <c r="C86" t="s">
        <v>158</v>
      </c>
      <c r="E86" t="s">
        <v>166</v>
      </c>
    </row>
    <row r="87" spans="3:5" ht="12.75" x14ac:dyDescent="0.2">
      <c r="C87" t="s">
        <v>143</v>
      </c>
      <c r="E87" t="s">
        <v>144</v>
      </c>
    </row>
    <row r="88" spans="3:5" ht="12.75" x14ac:dyDescent="0.2">
      <c r="C88" t="s">
        <v>170</v>
      </c>
      <c r="E88" t="s">
        <v>171</v>
      </c>
    </row>
    <row r="89" spans="3:5" ht="12.75" x14ac:dyDescent="0.2"/>
    <row r="90" spans="3:5" ht="12.75" x14ac:dyDescent="0.2">
      <c r="C90" t="s">
        <v>174</v>
      </c>
      <c r="E90" t="s">
        <v>144</v>
      </c>
    </row>
    <row r="91" spans="3:5" ht="12.75" x14ac:dyDescent="0.2">
      <c r="C91" t="s">
        <v>175</v>
      </c>
      <c r="E91" t="s">
        <v>176</v>
      </c>
    </row>
    <row r="92" spans="3:5" ht="12.75" x14ac:dyDescent="0.2">
      <c r="C92" t="s">
        <v>177</v>
      </c>
      <c r="E92" t="s">
        <v>144</v>
      </c>
    </row>
    <row r="93" spans="3:5" ht="12.75" x14ac:dyDescent="0.2">
      <c r="C93" t="s">
        <v>178</v>
      </c>
      <c r="E93" t="s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rotocol parameters"/>
  <dimension ref="A1:E20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179</v>
      </c>
    </row>
    <row r="3" spans="1:5" ht="15" customHeight="1" x14ac:dyDescent="0.2">
      <c r="B3" t="s">
        <v>180</v>
      </c>
      <c r="E3" t="s">
        <v>171</v>
      </c>
    </row>
    <row r="4" spans="1:5" ht="15" customHeight="1" x14ac:dyDescent="0.2">
      <c r="B4" t="s">
        <v>181</v>
      </c>
      <c r="E4" t="s">
        <v>176</v>
      </c>
    </row>
    <row r="5" spans="1:5" ht="15" customHeight="1" x14ac:dyDescent="0.2">
      <c r="B5" t="s">
        <v>182</v>
      </c>
      <c r="E5" t="s">
        <v>176</v>
      </c>
    </row>
    <row r="7" spans="1:5" ht="15" customHeight="1" x14ac:dyDescent="0.2">
      <c r="A7" t="s">
        <v>183</v>
      </c>
    </row>
    <row r="9" spans="1:5" ht="15" customHeight="1" x14ac:dyDescent="0.2">
      <c r="B9" t="s">
        <v>184</v>
      </c>
      <c r="E9" t="s">
        <v>185</v>
      </c>
    </row>
    <row r="10" spans="1:5" ht="15" customHeight="1" x14ac:dyDescent="0.2">
      <c r="B10" t="s">
        <v>186</v>
      </c>
      <c r="E10" t="s">
        <v>187</v>
      </c>
    </row>
    <row r="11" spans="1:5" ht="15" customHeight="1" x14ac:dyDescent="0.2">
      <c r="B11" t="s">
        <v>188</v>
      </c>
      <c r="E11" t="s">
        <v>189</v>
      </c>
    </row>
    <row r="12" spans="1:5" ht="15" customHeight="1" x14ac:dyDescent="0.2">
      <c r="B12" t="s">
        <v>190</v>
      </c>
      <c r="E12" t="s">
        <v>191</v>
      </c>
    </row>
    <row r="14" spans="1:5" ht="15" customHeight="1" x14ac:dyDescent="0.2">
      <c r="A14" t="s">
        <v>4</v>
      </c>
    </row>
    <row r="16" spans="1:5" ht="15" customHeight="1" x14ac:dyDescent="0.2">
      <c r="B16" t="s">
        <v>192</v>
      </c>
      <c r="E16" t="s">
        <v>159</v>
      </c>
    </row>
    <row r="17" spans="2:5" ht="15" customHeight="1" x14ac:dyDescent="0.2">
      <c r="B17" t="s">
        <v>192</v>
      </c>
      <c r="E17" t="s">
        <v>193</v>
      </c>
    </row>
    <row r="18" spans="2:5" ht="15" customHeight="1" x14ac:dyDescent="0.2">
      <c r="B18" t="s">
        <v>194</v>
      </c>
      <c r="E18" t="s">
        <v>176</v>
      </c>
    </row>
    <row r="19" spans="2:5" ht="15" customHeight="1" x14ac:dyDescent="0.2">
      <c r="B19" t="s">
        <v>195</v>
      </c>
      <c r="E19" t="s">
        <v>196</v>
      </c>
    </row>
    <row r="20" spans="2:5" ht="15" customHeight="1" x14ac:dyDescent="0.2">
      <c r="B20" t="s">
        <v>197</v>
      </c>
      <c r="E20" t="s">
        <v>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Run log"/>
  <dimension ref="A1:E14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7.28515625" customWidth="1"/>
    <col min="4" max="4" width="11.85546875" customWidth="1"/>
  </cols>
  <sheetData>
    <row r="1" spans="1:5" ht="15" customHeight="1" x14ac:dyDescent="0.2">
      <c r="A1" t="s">
        <v>198</v>
      </c>
    </row>
    <row r="3" spans="1:5" ht="15" customHeight="1" x14ac:dyDescent="0.2">
      <c r="B3" s="9" t="s">
        <v>199</v>
      </c>
      <c r="C3" s="9" t="s">
        <v>200</v>
      </c>
      <c r="D3" s="9" t="s">
        <v>201</v>
      </c>
      <c r="E3" s="9"/>
    </row>
    <row r="4" spans="1:5" ht="15" customHeight="1" x14ac:dyDescent="0.2">
      <c r="B4" t="s">
        <v>2</v>
      </c>
      <c r="C4" t="s">
        <v>202</v>
      </c>
    </row>
    <row r="5" spans="1:5" ht="15" customHeight="1" x14ac:dyDescent="0.2">
      <c r="B5" t="s">
        <v>203</v>
      </c>
      <c r="C5" t="s">
        <v>204</v>
      </c>
      <c r="D5" t="s">
        <v>205</v>
      </c>
    </row>
    <row r="6" spans="1:5" ht="15" customHeight="1" x14ac:dyDescent="0.2">
      <c r="B6" t="s">
        <v>203</v>
      </c>
      <c r="C6" t="s">
        <v>206</v>
      </c>
    </row>
    <row r="7" spans="1:5" ht="15" customHeight="1" x14ac:dyDescent="0.2">
      <c r="B7" t="s">
        <v>207</v>
      </c>
      <c r="C7" t="s">
        <v>204</v>
      </c>
      <c r="D7" t="s">
        <v>205</v>
      </c>
    </row>
    <row r="8" spans="1:5" ht="15" customHeight="1" x14ac:dyDescent="0.2">
      <c r="B8" t="s">
        <v>208</v>
      </c>
      <c r="C8" t="s">
        <v>209</v>
      </c>
    </row>
    <row r="9" spans="1:5" ht="15" customHeight="1" x14ac:dyDescent="0.2">
      <c r="B9" t="s">
        <v>208</v>
      </c>
      <c r="C9" t="s">
        <v>210</v>
      </c>
    </row>
    <row r="10" spans="1:5" ht="15" customHeight="1" x14ac:dyDescent="0.2">
      <c r="B10" t="s">
        <v>211</v>
      </c>
      <c r="C10" t="s">
        <v>204</v>
      </c>
      <c r="D10" t="s">
        <v>205</v>
      </c>
    </row>
    <row r="11" spans="1:5" ht="15" customHeight="1" x14ac:dyDescent="0.2">
      <c r="B11" t="s">
        <v>212</v>
      </c>
      <c r="C11" t="s">
        <v>213</v>
      </c>
    </row>
    <row r="12" spans="1:5" ht="15" customHeight="1" x14ac:dyDescent="0.2">
      <c r="B12" t="s">
        <v>212</v>
      </c>
      <c r="C12" t="s">
        <v>204</v>
      </c>
      <c r="D12" t="s">
        <v>205</v>
      </c>
    </row>
    <row r="13" spans="1:5" ht="15" customHeight="1" x14ac:dyDescent="0.2">
      <c r="B13" t="s">
        <v>214</v>
      </c>
      <c r="C13" t="s">
        <v>215</v>
      </c>
    </row>
    <row r="14" spans="1:5" ht="15" customHeight="1" x14ac:dyDescent="0.2">
      <c r="A14" t="s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128</v>
      </c>
      <c r="B1" t="s">
        <v>6</v>
      </c>
    </row>
    <row r="2" spans="1:13" ht="15" customHeight="1" x14ac:dyDescent="0.2">
      <c r="A2" t="s">
        <v>216</v>
      </c>
      <c r="B2" t="s">
        <v>217</v>
      </c>
    </row>
    <row r="4" spans="1:13" ht="15" customHeight="1" x14ac:dyDescent="0.2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1:13" ht="15" customHeight="1" x14ac:dyDescent="0.2">
      <c r="A5" s="37" t="s">
        <v>8</v>
      </c>
      <c r="B5" s="11" t="s">
        <v>18</v>
      </c>
      <c r="C5" s="11" t="s">
        <v>18</v>
      </c>
      <c r="D5" s="12" t="s">
        <v>19</v>
      </c>
      <c r="E5" s="13" t="s">
        <v>20</v>
      </c>
      <c r="F5" s="13" t="s">
        <v>21</v>
      </c>
      <c r="G5" s="13" t="s">
        <v>22</v>
      </c>
      <c r="H5" s="38"/>
      <c r="I5" s="38"/>
      <c r="J5" s="38"/>
      <c r="K5" s="38"/>
      <c r="L5" s="38"/>
      <c r="M5" s="38"/>
    </row>
    <row r="6" spans="1:13" ht="15" customHeight="1" x14ac:dyDescent="0.2">
      <c r="A6" s="38"/>
      <c r="B6" s="14" t="s">
        <v>218</v>
      </c>
      <c r="C6" s="14" t="s">
        <v>218</v>
      </c>
      <c r="D6" s="15" t="s">
        <v>218</v>
      </c>
      <c r="E6" s="16" t="s">
        <v>218</v>
      </c>
      <c r="F6" s="16" t="s">
        <v>218</v>
      </c>
      <c r="G6" s="16" t="s">
        <v>218</v>
      </c>
      <c r="H6" s="38"/>
      <c r="I6" s="38"/>
      <c r="J6" s="38"/>
      <c r="K6" s="38"/>
      <c r="L6" s="38"/>
      <c r="M6" s="38"/>
    </row>
    <row r="7" spans="1:13" ht="15" customHeight="1" x14ac:dyDescent="0.2">
      <c r="A7" s="38"/>
      <c r="B7" s="17" t="s">
        <v>219</v>
      </c>
      <c r="C7" s="17" t="s">
        <v>219</v>
      </c>
      <c r="D7" s="18"/>
      <c r="E7" s="19" t="s">
        <v>220</v>
      </c>
      <c r="F7" s="19" t="s">
        <v>220</v>
      </c>
      <c r="G7" s="19" t="s">
        <v>220</v>
      </c>
      <c r="H7" s="38"/>
      <c r="I7" s="38"/>
      <c r="J7" s="38"/>
      <c r="K7" s="38"/>
      <c r="L7" s="38"/>
      <c r="M7" s="38"/>
    </row>
    <row r="8" spans="1:13" ht="15" customHeight="1" x14ac:dyDescent="0.2">
      <c r="A8" s="37" t="s">
        <v>9</v>
      </c>
      <c r="B8" s="11" t="s">
        <v>23</v>
      </c>
      <c r="C8" s="11" t="s">
        <v>23</v>
      </c>
      <c r="D8" s="13" t="s">
        <v>24</v>
      </c>
      <c r="E8" s="13" t="s">
        <v>25</v>
      </c>
      <c r="F8" s="13" t="s">
        <v>26</v>
      </c>
      <c r="G8" s="13" t="s">
        <v>27</v>
      </c>
      <c r="H8" s="38"/>
      <c r="I8" s="38"/>
      <c r="J8" s="38"/>
      <c r="K8" s="38"/>
      <c r="L8" s="38"/>
      <c r="M8" s="38"/>
    </row>
    <row r="9" spans="1:13" ht="15" customHeight="1" x14ac:dyDescent="0.2">
      <c r="A9" s="38"/>
      <c r="B9" s="14" t="s">
        <v>218</v>
      </c>
      <c r="C9" s="14" t="s">
        <v>218</v>
      </c>
      <c r="D9" s="16" t="s">
        <v>218</v>
      </c>
      <c r="E9" s="16" t="s">
        <v>218</v>
      </c>
      <c r="F9" s="16" t="s">
        <v>218</v>
      </c>
      <c r="G9" s="16" t="s">
        <v>218</v>
      </c>
      <c r="H9" s="38"/>
      <c r="I9" s="38"/>
      <c r="J9" s="38"/>
      <c r="K9" s="38"/>
      <c r="L9" s="38"/>
      <c r="M9" s="38"/>
    </row>
    <row r="10" spans="1:13" ht="15" customHeight="1" x14ac:dyDescent="0.2">
      <c r="A10" s="38"/>
      <c r="B10" s="17" t="s">
        <v>221</v>
      </c>
      <c r="C10" s="17" t="s">
        <v>221</v>
      </c>
      <c r="D10" s="19" t="s">
        <v>220</v>
      </c>
      <c r="E10" s="19" t="s">
        <v>220</v>
      </c>
      <c r="F10" s="19" t="s">
        <v>220</v>
      </c>
      <c r="G10" s="19" t="s">
        <v>220</v>
      </c>
      <c r="H10" s="38"/>
      <c r="I10" s="38"/>
      <c r="J10" s="38"/>
      <c r="K10" s="38"/>
      <c r="L10" s="38"/>
      <c r="M10" s="38"/>
    </row>
    <row r="11" spans="1:13" ht="15" customHeight="1" x14ac:dyDescent="0.2">
      <c r="A11" s="37" t="s">
        <v>10</v>
      </c>
      <c r="B11" s="11" t="s">
        <v>28</v>
      </c>
      <c r="C11" s="11" t="s">
        <v>28</v>
      </c>
      <c r="D11" s="13" t="s">
        <v>29</v>
      </c>
      <c r="E11" s="13" t="s">
        <v>30</v>
      </c>
      <c r="F11" s="13" t="s">
        <v>31</v>
      </c>
      <c r="G11" s="13" t="s">
        <v>32</v>
      </c>
      <c r="H11" s="38"/>
      <c r="I11" s="38"/>
      <c r="J11" s="38"/>
      <c r="K11" s="38"/>
      <c r="L11" s="38"/>
      <c r="M11" s="38"/>
    </row>
    <row r="12" spans="1:13" ht="15" customHeight="1" x14ac:dyDescent="0.2">
      <c r="A12" s="38"/>
      <c r="B12" s="14" t="s">
        <v>218</v>
      </c>
      <c r="C12" s="14" t="s">
        <v>218</v>
      </c>
      <c r="D12" s="16" t="s">
        <v>218</v>
      </c>
      <c r="E12" s="16" t="s">
        <v>218</v>
      </c>
      <c r="F12" s="16" t="s">
        <v>218</v>
      </c>
      <c r="G12" s="16" t="s">
        <v>218</v>
      </c>
      <c r="H12" s="38"/>
      <c r="I12" s="38"/>
      <c r="J12" s="38"/>
      <c r="K12" s="38"/>
      <c r="L12" s="38"/>
      <c r="M12" s="38"/>
    </row>
    <row r="13" spans="1:13" ht="15" customHeight="1" x14ac:dyDescent="0.2">
      <c r="A13" s="38"/>
      <c r="B13" s="17" t="s">
        <v>222</v>
      </c>
      <c r="C13" s="17" t="s">
        <v>222</v>
      </c>
      <c r="D13" s="19" t="s">
        <v>220</v>
      </c>
      <c r="E13" s="19" t="s">
        <v>220</v>
      </c>
      <c r="F13" s="19" t="s">
        <v>220</v>
      </c>
      <c r="G13" s="19" t="s">
        <v>220</v>
      </c>
      <c r="H13" s="38"/>
      <c r="I13" s="38"/>
      <c r="J13" s="38"/>
      <c r="K13" s="38"/>
      <c r="L13" s="38"/>
      <c r="M13" s="38"/>
    </row>
    <row r="14" spans="1:13" ht="15" customHeight="1" x14ac:dyDescent="0.2">
      <c r="A14" s="37" t="s">
        <v>11</v>
      </c>
      <c r="B14" s="11" t="s">
        <v>33</v>
      </c>
      <c r="C14" s="11" t="s">
        <v>33</v>
      </c>
      <c r="D14" s="13" t="s">
        <v>34</v>
      </c>
      <c r="E14" s="13" t="s">
        <v>35</v>
      </c>
      <c r="F14" s="13" t="s">
        <v>36</v>
      </c>
      <c r="G14" s="13" t="s">
        <v>37</v>
      </c>
      <c r="H14" s="38"/>
      <c r="I14" s="38"/>
      <c r="J14" s="38"/>
      <c r="K14" s="38"/>
      <c r="L14" s="38"/>
      <c r="M14" s="38"/>
    </row>
    <row r="15" spans="1:13" ht="15" customHeight="1" x14ac:dyDescent="0.2">
      <c r="A15" s="38"/>
      <c r="B15" s="14" t="s">
        <v>218</v>
      </c>
      <c r="C15" s="14" t="s">
        <v>218</v>
      </c>
      <c r="D15" s="16" t="s">
        <v>218</v>
      </c>
      <c r="E15" s="16" t="s">
        <v>218</v>
      </c>
      <c r="F15" s="16" t="s">
        <v>218</v>
      </c>
      <c r="G15" s="16" t="s">
        <v>218</v>
      </c>
      <c r="H15" s="38"/>
      <c r="I15" s="38"/>
      <c r="J15" s="38"/>
      <c r="K15" s="38"/>
      <c r="L15" s="38"/>
      <c r="M15" s="38"/>
    </row>
    <row r="16" spans="1:13" ht="15" customHeight="1" x14ac:dyDescent="0.2">
      <c r="A16" s="38"/>
      <c r="B16" s="17" t="s">
        <v>223</v>
      </c>
      <c r="C16" s="17" t="s">
        <v>223</v>
      </c>
      <c r="D16" s="19" t="s">
        <v>220</v>
      </c>
      <c r="E16" s="19" t="s">
        <v>220</v>
      </c>
      <c r="F16" s="19" t="s">
        <v>220</v>
      </c>
      <c r="G16" s="19" t="s">
        <v>220</v>
      </c>
      <c r="H16" s="38"/>
      <c r="I16" s="38"/>
      <c r="J16" s="38"/>
      <c r="K16" s="38"/>
      <c r="L16" s="38"/>
      <c r="M16" s="38"/>
    </row>
    <row r="17" spans="1:13" ht="15" customHeight="1" x14ac:dyDescent="0.2">
      <c r="A17" s="37" t="s">
        <v>12</v>
      </c>
      <c r="B17" s="11" t="s">
        <v>38</v>
      </c>
      <c r="C17" s="11" t="s">
        <v>38</v>
      </c>
      <c r="D17" s="13" t="s">
        <v>39</v>
      </c>
      <c r="E17" s="13" t="s">
        <v>40</v>
      </c>
      <c r="F17" s="13" t="s">
        <v>41</v>
      </c>
      <c r="G17" s="13" t="s">
        <v>42</v>
      </c>
      <c r="H17" s="38"/>
      <c r="I17" s="38"/>
      <c r="J17" s="38"/>
      <c r="K17" s="38"/>
      <c r="L17" s="38"/>
      <c r="M17" s="38"/>
    </row>
    <row r="18" spans="1:13" ht="15" customHeight="1" x14ac:dyDescent="0.2">
      <c r="A18" s="38"/>
      <c r="B18" s="14" t="s">
        <v>218</v>
      </c>
      <c r="C18" s="14" t="s">
        <v>218</v>
      </c>
      <c r="D18" s="16" t="s">
        <v>218</v>
      </c>
      <c r="E18" s="16" t="s">
        <v>218</v>
      </c>
      <c r="F18" s="16" t="s">
        <v>218</v>
      </c>
      <c r="G18" s="16" t="s">
        <v>218</v>
      </c>
      <c r="H18" s="38"/>
      <c r="I18" s="38"/>
      <c r="J18" s="38"/>
      <c r="K18" s="38"/>
      <c r="L18" s="38"/>
      <c r="M18" s="38"/>
    </row>
    <row r="19" spans="1:13" ht="15" customHeight="1" x14ac:dyDescent="0.2">
      <c r="A19" s="38"/>
      <c r="B19" s="17" t="s">
        <v>224</v>
      </c>
      <c r="C19" s="17" t="s">
        <v>224</v>
      </c>
      <c r="D19" s="19" t="s">
        <v>220</v>
      </c>
      <c r="E19" s="19" t="s">
        <v>220</v>
      </c>
      <c r="F19" s="19" t="s">
        <v>220</v>
      </c>
      <c r="G19" s="19" t="s">
        <v>220</v>
      </c>
      <c r="H19" s="38"/>
      <c r="I19" s="38"/>
      <c r="J19" s="38"/>
      <c r="K19" s="38"/>
      <c r="L19" s="38"/>
      <c r="M19" s="38"/>
    </row>
    <row r="20" spans="1:13" ht="15" customHeight="1" x14ac:dyDescent="0.2">
      <c r="A20" s="37" t="s">
        <v>13</v>
      </c>
      <c r="B20" s="11" t="s">
        <v>43</v>
      </c>
      <c r="C20" s="11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38"/>
      <c r="I20" s="38"/>
      <c r="J20" s="38"/>
      <c r="K20" s="38"/>
      <c r="L20" s="38"/>
      <c r="M20" s="38"/>
    </row>
    <row r="21" spans="1:13" ht="15" customHeight="1" x14ac:dyDescent="0.2">
      <c r="A21" s="38"/>
      <c r="B21" s="14" t="s">
        <v>218</v>
      </c>
      <c r="C21" s="14" t="s">
        <v>218</v>
      </c>
      <c r="D21" s="16" t="s">
        <v>218</v>
      </c>
      <c r="E21" s="16" t="s">
        <v>218</v>
      </c>
      <c r="F21" s="16" t="s">
        <v>218</v>
      </c>
      <c r="G21" s="16" t="s">
        <v>218</v>
      </c>
      <c r="H21" s="38"/>
      <c r="I21" s="38"/>
      <c r="J21" s="38"/>
      <c r="K21" s="38"/>
      <c r="L21" s="38"/>
      <c r="M21" s="38"/>
    </row>
    <row r="22" spans="1:13" ht="15" customHeight="1" x14ac:dyDescent="0.2">
      <c r="A22" s="38"/>
      <c r="B22" s="17" t="s">
        <v>225</v>
      </c>
      <c r="C22" s="17" t="s">
        <v>225</v>
      </c>
      <c r="D22" s="19" t="s">
        <v>220</v>
      </c>
      <c r="E22" s="19" t="s">
        <v>220</v>
      </c>
      <c r="F22" s="19" t="s">
        <v>220</v>
      </c>
      <c r="G22" s="19" t="s">
        <v>220</v>
      </c>
      <c r="H22" s="38"/>
      <c r="I22" s="38"/>
      <c r="J22" s="38"/>
      <c r="K22" s="38"/>
      <c r="L22" s="38"/>
      <c r="M22" s="38"/>
    </row>
    <row r="23" spans="1:13" ht="15" customHeight="1" x14ac:dyDescent="0.2">
      <c r="A23" s="37" t="s">
        <v>14</v>
      </c>
      <c r="B23" s="11" t="s">
        <v>48</v>
      </c>
      <c r="C23" s="11" t="s">
        <v>48</v>
      </c>
      <c r="D23" s="13" t="s">
        <v>49</v>
      </c>
      <c r="E23" s="13" t="s">
        <v>50</v>
      </c>
      <c r="F23" s="13" t="s">
        <v>51</v>
      </c>
      <c r="G23" s="13" t="s">
        <v>52</v>
      </c>
      <c r="H23" s="38"/>
      <c r="I23" s="38"/>
      <c r="J23" s="38"/>
      <c r="K23" s="38"/>
      <c r="L23" s="38"/>
      <c r="M23" s="38"/>
    </row>
    <row r="24" spans="1:13" ht="15" customHeight="1" x14ac:dyDescent="0.2">
      <c r="A24" s="38"/>
      <c r="B24" s="14" t="s">
        <v>218</v>
      </c>
      <c r="C24" s="14" t="s">
        <v>218</v>
      </c>
      <c r="D24" s="16" t="s">
        <v>218</v>
      </c>
      <c r="E24" s="16" t="s">
        <v>218</v>
      </c>
      <c r="F24" s="16" t="s">
        <v>218</v>
      </c>
      <c r="G24" s="16" t="s">
        <v>218</v>
      </c>
      <c r="H24" s="38"/>
      <c r="I24" s="38"/>
      <c r="J24" s="38"/>
      <c r="K24" s="38"/>
      <c r="L24" s="38"/>
      <c r="M24" s="38"/>
    </row>
    <row r="25" spans="1:13" ht="15" customHeight="1" x14ac:dyDescent="0.2">
      <c r="A25" s="38"/>
      <c r="B25" s="17" t="s">
        <v>226</v>
      </c>
      <c r="C25" s="17" t="s">
        <v>226</v>
      </c>
      <c r="D25" s="19" t="s">
        <v>220</v>
      </c>
      <c r="E25" s="19" t="s">
        <v>220</v>
      </c>
      <c r="F25" s="19" t="s">
        <v>220</v>
      </c>
      <c r="G25" s="19" t="s">
        <v>220</v>
      </c>
      <c r="H25" s="38"/>
      <c r="I25" s="38"/>
      <c r="J25" s="38"/>
      <c r="K25" s="38"/>
      <c r="L25" s="38"/>
      <c r="M25" s="38"/>
    </row>
    <row r="26" spans="1:13" ht="15" customHeight="1" x14ac:dyDescent="0.2">
      <c r="A26" s="37" t="s">
        <v>15</v>
      </c>
      <c r="B26" s="11" t="s">
        <v>53</v>
      </c>
      <c r="C26" s="11" t="s">
        <v>53</v>
      </c>
      <c r="D26" s="13" t="s">
        <v>54</v>
      </c>
      <c r="E26" s="13" t="s">
        <v>55</v>
      </c>
      <c r="F26" s="13" t="s">
        <v>56</v>
      </c>
      <c r="G26" s="13" t="s">
        <v>57</v>
      </c>
      <c r="H26" s="38"/>
      <c r="I26" s="38"/>
      <c r="J26" s="38"/>
      <c r="K26" s="38"/>
      <c r="L26" s="38"/>
      <c r="M26" s="38"/>
    </row>
    <row r="27" spans="1:13" ht="15" customHeight="1" x14ac:dyDescent="0.2">
      <c r="A27" s="38"/>
      <c r="B27" s="14" t="s">
        <v>218</v>
      </c>
      <c r="C27" s="14" t="s">
        <v>218</v>
      </c>
      <c r="D27" s="16" t="s">
        <v>218</v>
      </c>
      <c r="E27" s="16" t="s">
        <v>218</v>
      </c>
      <c r="F27" s="16" t="s">
        <v>218</v>
      </c>
      <c r="G27" s="16" t="s">
        <v>218</v>
      </c>
      <c r="H27" s="38"/>
      <c r="I27" s="38"/>
      <c r="J27" s="38"/>
      <c r="K27" s="38"/>
      <c r="L27" s="38"/>
      <c r="M27" s="38"/>
    </row>
    <row r="28" spans="1:13" ht="15" customHeight="1" x14ac:dyDescent="0.2">
      <c r="A28" s="38"/>
      <c r="B28" s="17" t="s">
        <v>227</v>
      </c>
      <c r="C28" s="17" t="s">
        <v>227</v>
      </c>
      <c r="D28" s="19" t="s">
        <v>220</v>
      </c>
      <c r="E28" s="19" t="s">
        <v>220</v>
      </c>
      <c r="F28" s="19" t="s">
        <v>220</v>
      </c>
      <c r="G28" s="19" t="s">
        <v>220</v>
      </c>
      <c r="H28" s="38"/>
      <c r="I28" s="38"/>
      <c r="J28" s="38"/>
      <c r="K28" s="38"/>
      <c r="L28" s="38"/>
      <c r="M28" s="38"/>
    </row>
    <row r="33" spans="1:1" ht="15" customHeight="1" x14ac:dyDescent="0.2">
      <c r="A33" t="s">
        <v>3</v>
      </c>
    </row>
  </sheetData>
  <mergeCells count="56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Absorbance 1_01</vt:lpstr>
      <vt:lpstr>Standard Curve 1_02</vt:lpstr>
      <vt:lpstr>Blank Subtraction 1_03</vt:lpstr>
      <vt:lpstr>Standard Curve 2_04</vt:lpstr>
      <vt:lpstr>Basic Calculation 1_05</vt:lpstr>
      <vt:lpstr>Blank Subtraction 2_06</vt:lpstr>
      <vt:lpstr>Standard Curve 3_07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2026-09-16T16:01:28Z</dcterms:created>
  <dcterms:modified xsi:type="dcterms:W3CDTF">2026-10-07T14:36:04Z</dcterms:modified>
</cp:coreProperties>
</file>