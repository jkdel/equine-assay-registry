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C:\Users\jrd699\Downloads\"/>
    </mc:Choice>
  </mc:AlternateContent>
  <xr:revisionPtr revIDLastSave="0" documentId="13_ncr:1_{31E231DA-7AAC-4611-8C7C-7C755CD1CD70}" xr6:coauthVersionLast="47" xr6:coauthVersionMax="47" xr10:uidLastSave="{00000000-0000-0000-0000-000000000000}"/>
  <bookViews>
    <workbookView xWindow="-13410" yWindow="-24120" windowWidth="57840" windowHeight="23520" activeTab="3" xr2:uid="{00000000-000D-0000-FFFF-FFFF00000000}"/>
  </bookViews>
  <sheets>
    <sheet name="Absorbance 1_01" sheetId="1" r:id="rId1"/>
    <sheet name="Standard Curve 1_02" sheetId="2" r:id="rId2"/>
    <sheet name="Blank Subtraction 1_03" sheetId="3" r:id="rId3"/>
    <sheet name="Standard Curve 2_04" sheetId="4" r:id="rId4"/>
    <sheet name="General information" sheetId="5" r:id="rId5"/>
    <sheet name="Session information" sheetId="6" r:id="rId6"/>
    <sheet name="Instrument information" sheetId="7" r:id="rId7"/>
    <sheet name="Protocol parameters" sheetId="8" r:id="rId8"/>
    <sheet name="Run log" sheetId="9" r:id="rId9"/>
    <sheet name="Layout definitions" sheetId="10" r:id="rId10"/>
  </sheets>
  <calcPr calcId="191029"/>
  <webPublishing codePage="125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7" i="4" l="1"/>
  <c r="L87" i="4"/>
  <c r="K84" i="4"/>
  <c r="L84" i="4" s="1"/>
  <c r="K85" i="4"/>
  <c r="L85" i="4" s="1"/>
  <c r="K86" i="4"/>
  <c r="L86" i="4" s="1"/>
  <c r="K83" i="4"/>
  <c r="L83" i="4" s="1"/>
  <c r="L96" i="4"/>
  <c r="L97" i="4"/>
  <c r="L98" i="4"/>
  <c r="L95" i="4"/>
</calcChain>
</file>

<file path=xl/sharedStrings.xml><?xml version="1.0" encoding="utf-8"?>
<sst xmlns="http://schemas.openxmlformats.org/spreadsheetml/2006/main" count="731" uniqueCount="228">
  <si>
    <t>Measurement results</t>
  </si>
  <si>
    <t>Equine_IGFBP2_Sigma_07_30_26 (2).skax</t>
  </si>
  <si>
    <t>2026-07-30T16:35:12-05:00</t>
  </si>
  <si>
    <t xml:space="preserve"> </t>
  </si>
  <si>
    <t>Absorbance 1</t>
  </si>
  <si>
    <t>Wavelength: 450 nm</t>
  </si>
  <si>
    <t>Plate 1</t>
  </si>
  <si>
    <t>Abs</t>
  </si>
  <si>
    <t>A</t>
  </si>
  <si>
    <t>B</t>
  </si>
  <si>
    <t>C</t>
  </si>
  <si>
    <t>D</t>
  </si>
  <si>
    <t>E</t>
  </si>
  <si>
    <t>F</t>
  </si>
  <si>
    <t>G</t>
  </si>
  <si>
    <t>H</t>
  </si>
  <si>
    <t>Sample</t>
  </si>
  <si>
    <t>Std70001</t>
  </si>
  <si>
    <t>Un0003</t>
  </si>
  <si>
    <t>Un0011</t>
  </si>
  <si>
    <t>Std60001</t>
  </si>
  <si>
    <t>Un0004</t>
  </si>
  <si>
    <t>Un0012</t>
  </si>
  <si>
    <t>Std50001</t>
  </si>
  <si>
    <t>Un0005</t>
  </si>
  <si>
    <t>Un0013</t>
  </si>
  <si>
    <t>Std40001</t>
  </si>
  <si>
    <t>Un0006</t>
  </si>
  <si>
    <t>Un0014</t>
  </si>
  <si>
    <t>Std30001</t>
  </si>
  <si>
    <t>Un0007</t>
  </si>
  <si>
    <t>Un0015</t>
  </si>
  <si>
    <t>Std20001</t>
  </si>
  <si>
    <t>Un0008</t>
  </si>
  <si>
    <t>Un0016</t>
  </si>
  <si>
    <t>Std10001</t>
  </si>
  <si>
    <t>Un0001</t>
  </si>
  <si>
    <t>Un0009</t>
  </si>
  <si>
    <t>Un0017</t>
  </si>
  <si>
    <t>Blank1</t>
  </si>
  <si>
    <t>Un0002</t>
  </si>
  <si>
    <t>Un0010</t>
  </si>
  <si>
    <t>Un0018</t>
  </si>
  <si>
    <t>Autoloading range A1 - M28</t>
  </si>
  <si>
    <t>Standard Curve 1</t>
  </si>
  <si>
    <t>Fit type: 4PL</t>
  </si>
  <si>
    <t>Concentration transformation: Logarithmic</t>
  </si>
  <si>
    <t>Signal transformation: Linear</t>
  </si>
  <si>
    <t>Saved curve: No</t>
  </si>
  <si>
    <t>Sample group: Group 1</t>
  </si>
  <si>
    <t>y = 1.4738E+06 + ( (0.13746 - 1.4738E+06) / ( 1 + (x/1.8634E+06)^1.15281) )</t>
  </si>
  <si>
    <t>y = d + ( (a - d) / ( 1 + (x/c)^b) )</t>
  </si>
  <si>
    <t>Where:</t>
  </si>
  <si>
    <t>a =</t>
  </si>
  <si>
    <t>b =</t>
  </si>
  <si>
    <t>c =</t>
  </si>
  <si>
    <t>d =</t>
  </si>
  <si>
    <t>R²: 0.999</t>
  </si>
  <si>
    <t>Well</t>
  </si>
  <si>
    <t>Conc. [ng/mL]</t>
  </si>
  <si>
    <t>Original signal</t>
  </si>
  <si>
    <t>CV%</t>
  </si>
  <si>
    <t>Fitted signal</t>
  </si>
  <si>
    <t>Residual</t>
  </si>
  <si>
    <t>Average</t>
  </si>
  <si>
    <t>NaN</t>
  </si>
  <si>
    <t>G01</t>
  </si>
  <si>
    <t>F01</t>
  </si>
  <si>
    <t>F02</t>
  </si>
  <si>
    <t>E01</t>
  </si>
  <si>
    <t>E02</t>
  </si>
  <si>
    <t>D01</t>
  </si>
  <si>
    <t>D02</t>
  </si>
  <si>
    <t>C01</t>
  </si>
  <si>
    <t>C02</t>
  </si>
  <si>
    <t>B01</t>
  </si>
  <si>
    <t>B02</t>
  </si>
  <si>
    <t>A01</t>
  </si>
  <si>
    <t>A02</t>
  </si>
  <si>
    <t>Signal</t>
  </si>
  <si>
    <t>Autoloading range A1 - M100</t>
  </si>
  <si>
    <t>Blank Subtraction 1</t>
  </si>
  <si>
    <t>Blank subtracted</t>
  </si>
  <si>
    <t>Autoloading range A1 - M31</t>
  </si>
  <si>
    <t>Standard Curve 2</t>
  </si>
  <si>
    <t>y = 1.52512E+06 + ( (0.00242809 - 1.52512E+06) / ( 1 + (x/1.91956E+06)^1.15281) )</t>
  </si>
  <si>
    <t>General information</t>
  </si>
  <si>
    <t>Report generated with SW version</t>
  </si>
  <si>
    <t>SkanIt Software 7.1 RE for Microplate Readers RE, ver. 7.1.0.36</t>
  </si>
  <si>
    <t>Time zone</t>
  </si>
  <si>
    <t>(UTC-06:00) Central Time (US &amp; Canada). Daylight saving time in effect: Offset from UTC is -05:00</t>
  </si>
  <si>
    <t>Session information</t>
  </si>
  <si>
    <t>Session name</t>
  </si>
  <si>
    <t>Session notes</t>
  </si>
  <si>
    <t>Equine_IGFBP2_Sigma_07_30_26_2nd trial</t>
  </si>
  <si>
    <t>Executed with</t>
  </si>
  <si>
    <t>SkanIt Software for Microplate Readers RE, ver 7.1.0.36</t>
  </si>
  <si>
    <t>Execution time</t>
  </si>
  <si>
    <t>Instrument information</t>
  </si>
  <si>
    <t>Name</t>
  </si>
  <si>
    <t>Varioskan ALF</t>
  </si>
  <si>
    <t>ESW version</t>
  </si>
  <si>
    <t>1.00.6</t>
  </si>
  <si>
    <t>Serial number</t>
  </si>
  <si>
    <t>3500-00622</t>
  </si>
  <si>
    <t>Instrument modules</t>
  </si>
  <si>
    <t>Excitation filter</t>
  </si>
  <si>
    <t>Excitation filter product number</t>
  </si>
  <si>
    <t>VF34525</t>
  </si>
  <si>
    <t>Blue fluorescence EX</t>
  </si>
  <si>
    <t>Excitation wavelength [nm]</t>
  </si>
  <si>
    <t>345</t>
  </si>
  <si>
    <t>Bandwidth</t>
  </si>
  <si>
    <t>25</t>
  </si>
  <si>
    <t>Permanent</t>
  </si>
  <si>
    <t>Yes</t>
  </si>
  <si>
    <t>Date and time of definition</t>
  </si>
  <si>
    <t>11/13/2025 10:30:00 AM</t>
  </si>
  <si>
    <t>VF48515</t>
  </si>
  <si>
    <t>Green fluorescence EX</t>
  </si>
  <si>
    <t>485</t>
  </si>
  <si>
    <t>15</t>
  </si>
  <si>
    <t>VF55515</t>
  </si>
  <si>
    <t>Orange fluorescence EX</t>
  </si>
  <si>
    <t>555</t>
  </si>
  <si>
    <t>Emission filter</t>
  </si>
  <si>
    <t>Emission filter product number</t>
  </si>
  <si>
    <t>VF45040</t>
  </si>
  <si>
    <t>Blue fluorescence EM</t>
  </si>
  <si>
    <t>Emission wavelength [nm]</t>
  </si>
  <si>
    <t>450</t>
  </si>
  <si>
    <t>40</t>
  </si>
  <si>
    <t>VF52515</t>
  </si>
  <si>
    <t>Green fluorescence EM</t>
  </si>
  <si>
    <t>525</t>
  </si>
  <si>
    <t>VF61545</t>
  </si>
  <si>
    <t>Orange fluorescence EM</t>
  </si>
  <si>
    <t>615</t>
  </si>
  <si>
    <t>45</t>
  </si>
  <si>
    <t>Filter pair</t>
  </si>
  <si>
    <t>Blue fluorescence</t>
  </si>
  <si>
    <t>Scaling factor</t>
  </si>
  <si>
    <t>1</t>
  </si>
  <si>
    <t>Green fluorescence</t>
  </si>
  <si>
    <t>Orange fluorescence</t>
  </si>
  <si>
    <t>Top optics</t>
  </si>
  <si>
    <t>Bottom optics</t>
  </si>
  <si>
    <t>No</t>
  </si>
  <si>
    <t>Photometric monochromator</t>
  </si>
  <si>
    <t>Incubator</t>
  </si>
  <si>
    <t>Protocol parameters</t>
  </si>
  <si>
    <t>Measurement order</t>
  </si>
  <si>
    <t>Check temperature at start [°C]</t>
  </si>
  <si>
    <t>Plate with lid</t>
  </si>
  <si>
    <t>Shake 1</t>
  </si>
  <si>
    <t>Duration [hh:mm:ss]:</t>
  </si>
  <si>
    <t>00:00:20</t>
  </si>
  <si>
    <t>Shaking type</t>
  </si>
  <si>
    <t>Continuous</t>
  </si>
  <si>
    <t>Shaking method</t>
  </si>
  <si>
    <t>Orbital</t>
  </si>
  <si>
    <t>Shaking speed</t>
  </si>
  <si>
    <t>Medium</t>
  </si>
  <si>
    <t>Wavelength [nm]</t>
  </si>
  <si>
    <t>Use transmittance</t>
  </si>
  <si>
    <t>Measurement mode</t>
  </si>
  <si>
    <t>Fast</t>
  </si>
  <si>
    <t>Pathlength correction</t>
  </si>
  <si>
    <t>Run log</t>
  </si>
  <si>
    <t>Time</t>
  </si>
  <si>
    <t>Event</t>
  </si>
  <si>
    <t>Information</t>
  </si>
  <si>
    <t>Session Equine_IGFBP2_Sigma_07_30_26 (2).skax started</t>
  </si>
  <si>
    <t>Temperature</t>
  </si>
  <si>
    <t>25.2°C</t>
  </si>
  <si>
    <t>2026-07-30T16:35:13-05:00</t>
  </si>
  <si>
    <t>Step Shake 1 started</t>
  </si>
  <si>
    <t>2026-07-30T16:35:31-05:00</t>
  </si>
  <si>
    <t>2026-07-30T16:35:35-05:00</t>
  </si>
  <si>
    <t>Step Shake 1 ended</t>
  </si>
  <si>
    <t>Step Absorbance 1 started</t>
  </si>
  <si>
    <t>2026-07-30T16:35:53-05:00</t>
  </si>
  <si>
    <t>Step Absorbance 1 ended</t>
  </si>
  <si>
    <t>2026-07-30T16:35:58-05:00</t>
  </si>
  <si>
    <t>Session Equine_IGFBP2_Sigma_07_30_26 (2).skax ended</t>
  </si>
  <si>
    <t>Plate template</t>
  </si>
  <si>
    <t>ANSI/SBS Standard, 96-well</t>
  </si>
  <si>
    <t>Group 1</t>
  </si>
  <si>
    <t>0.1102488144636279113448534936 ng/mL</t>
  </si>
  <si>
    <t>1:1</t>
  </si>
  <si>
    <t>0.242547391819981404958677686 ng/mL</t>
  </si>
  <si>
    <t>0.5336042620039590909090909091 ng/mL</t>
  </si>
  <si>
    <t>1.17392937640871 ng/mL</t>
  </si>
  <si>
    <t>2.58264462809917 ng/mL</t>
  </si>
  <si>
    <t>5.68181818181818 ng/mL</t>
  </si>
  <si>
    <t>12.5 ng/mL</t>
  </si>
  <si>
    <t>Std7 0.11</t>
  </si>
  <si>
    <t>Std 0.243</t>
  </si>
  <si>
    <t>Std5 0.534</t>
  </si>
  <si>
    <t>Std4 1.174</t>
  </si>
  <si>
    <t>Std3 2.583</t>
  </si>
  <si>
    <t>Std2 5.682</t>
  </si>
  <si>
    <t>Std1 12.5</t>
  </si>
  <si>
    <t>Serum 50X</t>
  </si>
  <si>
    <t>Serum 100X</t>
  </si>
  <si>
    <t>Serum 200X</t>
  </si>
  <si>
    <t>Serum 800X</t>
  </si>
  <si>
    <t>Serum 400X</t>
  </si>
  <si>
    <t>SP1 3.125</t>
  </si>
  <si>
    <t>SP2 1.5625</t>
  </si>
  <si>
    <t>SP3 0.78125</t>
  </si>
  <si>
    <t>SP4 0.391</t>
  </si>
  <si>
    <t>Spike 1</t>
  </si>
  <si>
    <t>Spike 2</t>
  </si>
  <si>
    <t>Spike 3</t>
  </si>
  <si>
    <t>Spike 4</t>
  </si>
  <si>
    <t>Expected</t>
  </si>
  <si>
    <t>Experimental</t>
  </si>
  <si>
    <t>Recovery (%)</t>
  </si>
  <si>
    <t>Dilution factor</t>
  </si>
  <si>
    <t>Measured</t>
  </si>
  <si>
    <t>Corrected</t>
  </si>
  <si>
    <t>Spikes Preparation</t>
  </si>
  <si>
    <t>Vol (uL) of sample</t>
  </si>
  <si>
    <t>Vol (uL) of standard (12.5 ng/mL)</t>
  </si>
  <si>
    <t>For the spikes preperation I have used 100X diluted serum sample</t>
  </si>
  <si>
    <t>Calculation of spike recovery</t>
  </si>
  <si>
    <t>Calculation of dilution linearity recovery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</si>
</sst>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0000"/>
    <numFmt numFmtId="166" formatCode="0.00000000"/>
    <numFmt numFmtId="167" formatCode="0.000000"/>
    <numFmt numFmtId="168" formatCode="0.0000000"/>
    <numFmt numFmtId="169" formatCode="0.000000000"/>
  </numFmts>
  <fonts count="3" x14ac:knownFonts="1">
    <font>
      <sz val="10"/>
      <name val="Arial"/>
    </font>
    <font>
      <sz val="8"/>
      <name val="Arial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66BFA6"/>
      </patternFill>
    </fill>
    <fill>
      <patternFill patternType="solid">
        <fgColor rgb="FF5685C4"/>
      </patternFill>
    </fill>
    <fill>
      <patternFill patternType="solid">
        <fgColor rgb="FFE7F4F5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/>
    <xf numFmtId="164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67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3" borderId="2" xfId="0" applyFill="1" applyBorder="1"/>
    <xf numFmtId="0" fontId="0" fillId="2" borderId="3" xfId="0" applyFill="1" applyBorder="1"/>
    <xf numFmtId="0" fontId="0" fillId="3" borderId="3" xfId="0" applyFill="1" applyBorder="1"/>
    <xf numFmtId="0" fontId="0" fillId="2" borderId="4" xfId="0" applyFill="1" applyBorder="1"/>
    <xf numFmtId="0" fontId="0" fillId="3" borderId="4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0" borderId="5" xfId="0" applyBorder="1"/>
    <xf numFmtId="0" fontId="0" fillId="0" borderId="5" xfId="0" applyBorder="1" applyAlignment="1">
      <alignment horizontal="right"/>
    </xf>
    <xf numFmtId="168" fontId="0" fillId="0" borderId="5" xfId="0" applyNumberFormat="1" applyBorder="1" applyAlignment="1">
      <alignment horizontal="right"/>
    </xf>
    <xf numFmtId="167" fontId="0" fillId="0" borderId="5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4" fontId="0" fillId="0" borderId="5" xfId="0" applyNumberFormat="1" applyBorder="1" applyAlignment="1">
      <alignment horizontal="right"/>
    </xf>
    <xf numFmtId="166" fontId="0" fillId="0" borderId="5" xfId="0" applyNumberFormat="1" applyBorder="1" applyAlignment="1">
      <alignment horizontal="right"/>
    </xf>
    <xf numFmtId="0" fontId="0" fillId="0" borderId="6" xfId="0" applyBorder="1"/>
    <xf numFmtId="1" fontId="0" fillId="0" borderId="5" xfId="0" applyNumberFormat="1" applyBorder="1" applyAlignment="1">
      <alignment horizontal="right"/>
    </xf>
    <xf numFmtId="0" fontId="0" fillId="0" borderId="0" xfId="0" applyAlignment="1">
      <alignment horizontal="center"/>
    </xf>
    <xf numFmtId="49" fontId="2" fillId="0" borderId="5" xfId="0" applyNumberFormat="1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5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10</xdr:col>
      <xdr:colOff>76200</xdr:colOff>
      <xdr:row>33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476500"/>
          <a:ext cx="6858000" cy="38100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8</xdr:col>
      <xdr:colOff>171450</xdr:colOff>
      <xdr:row>33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3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476500"/>
          <a:ext cx="6858000" cy="38100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bsorbance 1_01"/>
  <dimension ref="A1:G30"/>
  <sheetViews>
    <sheetView topLeftCell="A4" workbookViewId="0">
      <selection activeCell="A10" sqref="A10:E18"/>
    </sheetView>
  </sheetViews>
  <sheetFormatPr defaultColWidth="9.140625" defaultRowHeight="15" customHeight="1" x14ac:dyDescent="0.2"/>
  <cols>
    <col min="1" max="1" width="10.85546875" customWidth="1"/>
    <col min="2" max="3" width="10.42578125" customWidth="1"/>
    <col min="4" max="5" width="12.140625" customWidth="1"/>
  </cols>
  <sheetData>
    <row r="1" spans="1:7" ht="15" customHeight="1" x14ac:dyDescent="0.2">
      <c r="A1" t="s">
        <v>0</v>
      </c>
    </row>
    <row r="2" spans="1:7" ht="15" customHeight="1" x14ac:dyDescent="0.2">
      <c r="A2" t="s">
        <v>1</v>
      </c>
    </row>
    <row r="3" spans="1:7" ht="15" customHeight="1" x14ac:dyDescent="0.2">
      <c r="A3" t="s">
        <v>2</v>
      </c>
    </row>
    <row r="4" spans="1:7" ht="15" customHeight="1" x14ac:dyDescent="0.2">
      <c r="A4" t="s">
        <v>3</v>
      </c>
    </row>
    <row r="5" spans="1:7" ht="15" customHeight="1" x14ac:dyDescent="0.2">
      <c r="A5" t="s">
        <v>4</v>
      </c>
    </row>
    <row r="6" spans="1:7" ht="15" customHeight="1" x14ac:dyDescent="0.2">
      <c r="A6" t="s">
        <v>5</v>
      </c>
    </row>
    <row r="7" spans="1:7" ht="15" customHeight="1" x14ac:dyDescent="0.2">
      <c r="A7" t="s">
        <v>3</v>
      </c>
    </row>
    <row r="8" spans="1:7" ht="15" customHeight="1" x14ac:dyDescent="0.2">
      <c r="A8" t="s">
        <v>6</v>
      </c>
    </row>
    <row r="9" spans="1:7" ht="15" customHeight="1" x14ac:dyDescent="0.2">
      <c r="A9" t="s">
        <v>3</v>
      </c>
    </row>
    <row r="10" spans="1:7" ht="15" customHeight="1" x14ac:dyDescent="0.2">
      <c r="A10" s="23" t="s">
        <v>7</v>
      </c>
      <c r="B10" s="24">
        <v>1</v>
      </c>
      <c r="C10" s="24">
        <v>2</v>
      </c>
      <c r="D10" s="24">
        <v>3</v>
      </c>
      <c r="E10" s="24">
        <v>4</v>
      </c>
    </row>
    <row r="11" spans="1:7" ht="15" customHeight="1" x14ac:dyDescent="0.2">
      <c r="A11" s="23" t="s">
        <v>8</v>
      </c>
      <c r="B11" s="28">
        <v>0.14330000000000001</v>
      </c>
      <c r="C11" s="28">
        <v>0.1459</v>
      </c>
      <c r="D11" s="28">
        <v>0.66359999999999997</v>
      </c>
      <c r="E11" s="28">
        <v>0.69199999999999995</v>
      </c>
      <c r="G11" s="4"/>
    </row>
    <row r="12" spans="1:7" ht="15" customHeight="1" x14ac:dyDescent="0.2">
      <c r="A12" s="23" t="s">
        <v>9</v>
      </c>
      <c r="B12" s="28">
        <v>0.14630000000000001</v>
      </c>
      <c r="C12" s="28">
        <v>0.152</v>
      </c>
      <c r="D12" s="28">
        <v>0.3715</v>
      </c>
      <c r="E12" s="28">
        <v>0.3276</v>
      </c>
      <c r="G12" s="4"/>
    </row>
    <row r="13" spans="1:7" ht="15" customHeight="1" x14ac:dyDescent="0.2">
      <c r="A13" s="23" t="s">
        <v>10</v>
      </c>
      <c r="B13" s="28">
        <v>0.17199999999999999</v>
      </c>
      <c r="C13" s="28">
        <v>0.1691</v>
      </c>
      <c r="D13" s="28">
        <v>0.2278</v>
      </c>
      <c r="E13" s="28">
        <v>0.21590000000000001</v>
      </c>
      <c r="G13" s="4"/>
    </row>
    <row r="14" spans="1:7" ht="15" customHeight="1" x14ac:dyDescent="0.2">
      <c r="A14" s="23" t="s">
        <v>11</v>
      </c>
      <c r="B14" s="28">
        <v>0.23569999999999999</v>
      </c>
      <c r="C14" s="28">
        <v>0.26629999999999998</v>
      </c>
      <c r="D14" s="28">
        <v>0.1928</v>
      </c>
      <c r="E14" s="28">
        <v>0.1774</v>
      </c>
      <c r="G14" s="4"/>
    </row>
    <row r="15" spans="1:7" ht="15" customHeight="1" x14ac:dyDescent="0.2">
      <c r="A15" s="23" t="s">
        <v>12</v>
      </c>
      <c r="B15" s="28">
        <v>0.41589999999999999</v>
      </c>
      <c r="C15" s="28">
        <v>0.41470000000000001</v>
      </c>
      <c r="D15" s="28">
        <v>1.0488999999999999</v>
      </c>
      <c r="E15" s="28">
        <v>1.0108999999999999</v>
      </c>
      <c r="G15" s="4"/>
    </row>
    <row r="16" spans="1:7" ht="15" customHeight="1" x14ac:dyDescent="0.2">
      <c r="A16" s="23" t="s">
        <v>13</v>
      </c>
      <c r="B16" s="28">
        <v>0.74119999999999997</v>
      </c>
      <c r="C16" s="28">
        <v>0.79310000000000003</v>
      </c>
      <c r="D16" s="28">
        <v>0.77559999999999996</v>
      </c>
      <c r="E16" s="28">
        <v>0.72789999999999999</v>
      </c>
      <c r="G16" s="4"/>
    </row>
    <row r="17" spans="1:5" ht="15" customHeight="1" x14ac:dyDescent="0.2">
      <c r="A17" s="23" t="s">
        <v>14</v>
      </c>
      <c r="B17" s="28">
        <v>1.742</v>
      </c>
      <c r="C17" s="28">
        <v>1.3270999999999999</v>
      </c>
      <c r="D17" s="28">
        <v>0.751</v>
      </c>
      <c r="E17" s="28">
        <v>0.66869999999999996</v>
      </c>
    </row>
    <row r="18" spans="1:5" ht="15" customHeight="1" x14ac:dyDescent="0.2">
      <c r="A18" s="23" t="s">
        <v>15</v>
      </c>
      <c r="B18" s="28">
        <v>0.13500000000000001</v>
      </c>
      <c r="C18" s="28">
        <v>1.2845</v>
      </c>
      <c r="D18" s="28">
        <v>0.71160000000000001</v>
      </c>
      <c r="E18" s="28">
        <v>0.71340000000000003</v>
      </c>
    </row>
    <row r="20" spans="1:5" ht="15" customHeight="1" x14ac:dyDescent="0.2">
      <c r="A20" s="23" t="s">
        <v>16</v>
      </c>
      <c r="B20" s="24">
        <v>1</v>
      </c>
      <c r="C20" s="24">
        <v>2</v>
      </c>
      <c r="D20" s="24">
        <v>3</v>
      </c>
      <c r="E20" s="24">
        <v>4</v>
      </c>
    </row>
    <row r="21" spans="1:5" ht="15" customHeight="1" x14ac:dyDescent="0.2">
      <c r="A21" s="23" t="s">
        <v>8</v>
      </c>
      <c r="B21" s="23" t="s">
        <v>196</v>
      </c>
      <c r="C21" s="23" t="s">
        <v>196</v>
      </c>
      <c r="D21" s="23" t="s">
        <v>204</v>
      </c>
      <c r="E21" s="23" t="s">
        <v>204</v>
      </c>
    </row>
    <row r="22" spans="1:5" ht="15" customHeight="1" x14ac:dyDescent="0.2">
      <c r="A22" s="23" t="s">
        <v>9</v>
      </c>
      <c r="B22" s="23" t="s">
        <v>197</v>
      </c>
      <c r="C22" s="23" t="s">
        <v>197</v>
      </c>
      <c r="D22" s="23" t="s">
        <v>205</v>
      </c>
      <c r="E22" s="23" t="s">
        <v>205</v>
      </c>
    </row>
    <row r="23" spans="1:5" ht="15" customHeight="1" x14ac:dyDescent="0.2">
      <c r="A23" s="23" t="s">
        <v>10</v>
      </c>
      <c r="B23" s="23" t="s">
        <v>198</v>
      </c>
      <c r="C23" s="23" t="s">
        <v>198</v>
      </c>
      <c r="D23" s="23" t="s">
        <v>207</v>
      </c>
      <c r="E23" s="23" t="s">
        <v>207</v>
      </c>
    </row>
    <row r="24" spans="1:5" ht="15" customHeight="1" x14ac:dyDescent="0.2">
      <c r="A24" s="23" t="s">
        <v>11</v>
      </c>
      <c r="B24" s="23" t="s">
        <v>199</v>
      </c>
      <c r="C24" s="23" t="s">
        <v>199</v>
      </c>
      <c r="D24" s="23" t="s">
        <v>206</v>
      </c>
      <c r="E24" s="23" t="s">
        <v>206</v>
      </c>
    </row>
    <row r="25" spans="1:5" ht="15" customHeight="1" x14ac:dyDescent="0.2">
      <c r="A25" s="23" t="s">
        <v>12</v>
      </c>
      <c r="B25" s="23" t="s">
        <v>200</v>
      </c>
      <c r="C25" s="23" t="s">
        <v>200</v>
      </c>
      <c r="D25" s="23" t="s">
        <v>208</v>
      </c>
      <c r="E25" s="23" t="s">
        <v>208</v>
      </c>
    </row>
    <row r="26" spans="1:5" ht="15" customHeight="1" x14ac:dyDescent="0.2">
      <c r="A26" s="23" t="s">
        <v>13</v>
      </c>
      <c r="B26" s="23" t="s">
        <v>201</v>
      </c>
      <c r="C26" s="23" t="s">
        <v>201</v>
      </c>
      <c r="D26" s="23" t="s">
        <v>209</v>
      </c>
      <c r="E26" s="23" t="s">
        <v>209</v>
      </c>
    </row>
    <row r="27" spans="1:5" ht="15" customHeight="1" x14ac:dyDescent="0.2">
      <c r="A27" s="23" t="s">
        <v>14</v>
      </c>
      <c r="B27" s="23" t="s">
        <v>202</v>
      </c>
      <c r="C27" s="23" t="s">
        <v>203</v>
      </c>
      <c r="D27" s="23" t="s">
        <v>210</v>
      </c>
      <c r="E27" s="23" t="s">
        <v>210</v>
      </c>
    </row>
    <row r="28" spans="1:5" ht="15" customHeight="1" x14ac:dyDescent="0.2">
      <c r="A28" s="23" t="s">
        <v>15</v>
      </c>
      <c r="B28" s="23" t="s">
        <v>39</v>
      </c>
      <c r="C28" s="23" t="s">
        <v>203</v>
      </c>
      <c r="D28" s="23" t="s">
        <v>211</v>
      </c>
      <c r="E28" s="23" t="s">
        <v>211</v>
      </c>
    </row>
    <row r="30" spans="1:5" ht="15" customHeight="1" x14ac:dyDescent="0.2">
      <c r="A30" t="s">
        <v>43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tandard Curve 1_02"/>
  <dimension ref="A1:M102"/>
  <sheetViews>
    <sheetView topLeftCell="A64" workbookViewId="0">
      <selection activeCell="P80" sqref="P80"/>
    </sheetView>
  </sheetViews>
  <sheetFormatPr defaultColWidth="9.140625" defaultRowHeight="15" customHeight="1" x14ac:dyDescent="0.2"/>
  <cols>
    <col min="1" max="1" width="12.7109375" customWidth="1"/>
    <col min="2" max="2" width="11.28515625" customWidth="1"/>
    <col min="3" max="3" width="14.28515625" customWidth="1"/>
    <col min="4" max="4" width="14.42578125" customWidth="1"/>
    <col min="5" max="5" width="13.5703125" customWidth="1"/>
    <col min="6" max="6" width="12.5703125" customWidth="1"/>
    <col min="7" max="7" width="13.42578125" customWidth="1"/>
    <col min="8" max="10" width="3.140625" customWidth="1"/>
    <col min="11" max="13" width="4.140625" customWidth="1"/>
  </cols>
  <sheetData>
    <row r="1" spans="1:1" ht="15" customHeight="1" x14ac:dyDescent="0.2">
      <c r="A1" t="s">
        <v>0</v>
      </c>
    </row>
    <row r="2" spans="1:1" ht="15" customHeight="1" x14ac:dyDescent="0.2">
      <c r="A2" t="s">
        <v>1</v>
      </c>
    </row>
    <row r="3" spans="1:1" ht="15" customHeight="1" x14ac:dyDescent="0.2">
      <c r="A3" t="s">
        <v>2</v>
      </c>
    </row>
    <row r="4" spans="1:1" ht="15" customHeight="1" x14ac:dyDescent="0.2">
      <c r="A4" t="s">
        <v>3</v>
      </c>
    </row>
    <row r="5" spans="1:1" ht="15" customHeight="1" x14ac:dyDescent="0.2">
      <c r="A5" t="s">
        <v>44</v>
      </c>
    </row>
    <row r="7" spans="1:1" ht="15" customHeight="1" x14ac:dyDescent="0.2">
      <c r="A7" t="s">
        <v>45</v>
      </c>
    </row>
    <row r="8" spans="1:1" ht="15" customHeight="1" x14ac:dyDescent="0.2">
      <c r="A8" t="s">
        <v>46</v>
      </c>
    </row>
    <row r="9" spans="1:1" ht="15" customHeight="1" x14ac:dyDescent="0.2">
      <c r="A9" t="s">
        <v>47</v>
      </c>
    </row>
    <row r="10" spans="1:1" ht="15" customHeight="1" x14ac:dyDescent="0.2">
      <c r="A10" t="s">
        <v>5</v>
      </c>
    </row>
    <row r="11" spans="1:1" ht="15" customHeight="1" x14ac:dyDescent="0.2">
      <c r="A11" t="s">
        <v>48</v>
      </c>
    </row>
    <row r="12" spans="1:1" ht="15" customHeight="1" x14ac:dyDescent="0.2">
      <c r="A12" t="s">
        <v>49</v>
      </c>
    </row>
    <row r="13" spans="1:1" ht="15" customHeight="1" x14ac:dyDescent="0.2">
      <c r="A13" t="s">
        <v>3</v>
      </c>
    </row>
    <row r="15" spans="1:1" ht="15" customHeight="1" x14ac:dyDescent="0.2">
      <c r="A15" t="s">
        <v>3</v>
      </c>
    </row>
    <row r="36" spans="1:7" ht="15" customHeight="1" x14ac:dyDescent="0.2">
      <c r="A36" t="s">
        <v>50</v>
      </c>
    </row>
    <row r="38" spans="1:7" ht="15" customHeight="1" x14ac:dyDescent="0.2">
      <c r="A38" t="s">
        <v>51</v>
      </c>
    </row>
    <row r="39" spans="1:7" ht="12.75" x14ac:dyDescent="0.2">
      <c r="A39" t="s">
        <v>52</v>
      </c>
    </row>
    <row r="40" spans="1:7" ht="12.75" x14ac:dyDescent="0.2">
      <c r="A40" t="s">
        <v>53</v>
      </c>
      <c r="B40" s="3">
        <v>0.13746</v>
      </c>
    </row>
    <row r="41" spans="1:7" ht="12.75" x14ac:dyDescent="0.2">
      <c r="A41" t="s">
        <v>54</v>
      </c>
      <c r="B41" s="3">
        <v>1.1528099999999999</v>
      </c>
    </row>
    <row r="42" spans="1:7" ht="12.75" x14ac:dyDescent="0.2">
      <c r="A42" t="s">
        <v>55</v>
      </c>
      <c r="B42">
        <v>1863400</v>
      </c>
    </row>
    <row r="43" spans="1:7" ht="12.75" x14ac:dyDescent="0.2">
      <c r="A43" t="s">
        <v>56</v>
      </c>
      <c r="B43">
        <v>1473800</v>
      </c>
    </row>
    <row r="44" spans="1:7" ht="12.75" x14ac:dyDescent="0.2"/>
    <row r="45" spans="1:7" ht="12.75" x14ac:dyDescent="0.2">
      <c r="A45" t="s">
        <v>57</v>
      </c>
    </row>
    <row r="46" spans="1:7" ht="12.75" x14ac:dyDescent="0.2">
      <c r="A46" t="s">
        <v>3</v>
      </c>
    </row>
    <row r="47" spans="1:7" ht="12.75" x14ac:dyDescent="0.2">
      <c r="A47" t="s">
        <v>58</v>
      </c>
      <c r="B47" t="s">
        <v>16</v>
      </c>
      <c r="C47" t="s">
        <v>59</v>
      </c>
      <c r="D47" t="s">
        <v>60</v>
      </c>
      <c r="E47" t="s">
        <v>61</v>
      </c>
      <c r="F47" t="s">
        <v>62</v>
      </c>
      <c r="G47" t="s">
        <v>63</v>
      </c>
    </row>
    <row r="48" spans="1:7" ht="12.75" x14ac:dyDescent="0.2">
      <c r="A48" t="s">
        <v>64</v>
      </c>
      <c r="B48" t="s">
        <v>35</v>
      </c>
      <c r="C48" s="4">
        <v>12.5</v>
      </c>
      <c r="D48" s="3">
        <v>1.74197</v>
      </c>
      <c r="E48" t="s">
        <v>65</v>
      </c>
      <c r="F48" s="3">
        <v>1.7388600000000001</v>
      </c>
      <c r="G48" s="5">
        <v>3.1075E-3</v>
      </c>
    </row>
    <row r="49" spans="1:7" ht="12.75" x14ac:dyDescent="0.2">
      <c r="A49" t="s">
        <v>66</v>
      </c>
      <c r="B49" t="s">
        <v>35</v>
      </c>
      <c r="C49" s="4">
        <v>12.5</v>
      </c>
      <c r="D49" s="3">
        <v>1.74197</v>
      </c>
      <c r="F49" s="3">
        <v>1.7388600000000001</v>
      </c>
      <c r="G49" s="5">
        <v>3.1075E-3</v>
      </c>
    </row>
    <row r="50" spans="1:7" ht="12.75" x14ac:dyDescent="0.2">
      <c r="A50" t="s">
        <v>64</v>
      </c>
      <c r="B50" t="s">
        <v>32</v>
      </c>
      <c r="C50" s="3">
        <v>5.6818200000000001</v>
      </c>
      <c r="D50" s="6">
        <v>0.76716300000000004</v>
      </c>
      <c r="E50" s="3">
        <v>4.7835200000000002</v>
      </c>
      <c r="F50" s="6">
        <v>0.78274699999999997</v>
      </c>
      <c r="G50" s="7">
        <v>-1.5583899999999999E-2</v>
      </c>
    </row>
    <row r="51" spans="1:7" ht="12.75" x14ac:dyDescent="0.2">
      <c r="A51" t="s">
        <v>67</v>
      </c>
      <c r="B51" t="s">
        <v>32</v>
      </c>
      <c r="C51" s="3">
        <v>5.6818200000000001</v>
      </c>
      <c r="D51" s="6">
        <v>0.74121400000000004</v>
      </c>
      <c r="F51" s="6">
        <v>0.78274699999999997</v>
      </c>
      <c r="G51" s="7">
        <v>-4.1532899999999998E-2</v>
      </c>
    </row>
    <row r="52" spans="1:7" ht="12.75" x14ac:dyDescent="0.2">
      <c r="A52" t="s">
        <v>68</v>
      </c>
      <c r="B52" t="s">
        <v>32</v>
      </c>
      <c r="C52" s="3">
        <v>5.6818200000000001</v>
      </c>
      <c r="D52" s="6">
        <v>0.79311200000000004</v>
      </c>
      <c r="F52" s="6">
        <v>0.78274699999999997</v>
      </c>
      <c r="G52" s="7">
        <v>1.03651E-2</v>
      </c>
    </row>
    <row r="53" spans="1:7" ht="12.75" x14ac:dyDescent="0.2">
      <c r="A53" t="s">
        <v>64</v>
      </c>
      <c r="B53" t="s">
        <v>29</v>
      </c>
      <c r="C53" s="3">
        <v>2.58264</v>
      </c>
      <c r="D53" s="6">
        <v>0.41530299999999998</v>
      </c>
      <c r="E53" s="6">
        <v>0.205848</v>
      </c>
      <c r="F53" s="6">
        <v>0.39747900000000003</v>
      </c>
      <c r="G53" s="7">
        <v>1.7823499999999999E-2</v>
      </c>
    </row>
    <row r="54" spans="1:7" ht="12.75" x14ac:dyDescent="0.2">
      <c r="A54" t="s">
        <v>69</v>
      </c>
      <c r="B54" t="s">
        <v>29</v>
      </c>
      <c r="C54" s="3">
        <v>2.58264</v>
      </c>
      <c r="D54" s="6">
        <v>0.41590700000000003</v>
      </c>
      <c r="F54" s="6">
        <v>0.39747900000000003</v>
      </c>
      <c r="G54" s="7">
        <v>1.8428E-2</v>
      </c>
    </row>
    <row r="55" spans="1:7" ht="12.75" x14ac:dyDescent="0.2">
      <c r="A55" t="s">
        <v>70</v>
      </c>
      <c r="B55" t="s">
        <v>29</v>
      </c>
      <c r="C55" s="3">
        <v>2.58264</v>
      </c>
      <c r="D55" s="6">
        <v>0.41469800000000001</v>
      </c>
      <c r="F55" s="6">
        <v>0.39747900000000003</v>
      </c>
      <c r="G55" s="7">
        <v>1.7219000000000002E-2</v>
      </c>
    </row>
    <row r="56" spans="1:7" ht="12.75" x14ac:dyDescent="0.2">
      <c r="A56" t="s">
        <v>64</v>
      </c>
      <c r="B56" t="s">
        <v>26</v>
      </c>
      <c r="C56" s="3">
        <v>1.1739299999999999</v>
      </c>
      <c r="D56" s="6">
        <v>0.25104500000000002</v>
      </c>
      <c r="E56" s="3">
        <v>8.6206499999999995</v>
      </c>
      <c r="F56" s="6">
        <v>0.24223500000000001</v>
      </c>
      <c r="G56" s="5">
        <v>8.8100899999999996E-3</v>
      </c>
    </row>
    <row r="57" spans="1:7" ht="12.75" x14ac:dyDescent="0.2">
      <c r="A57" t="s">
        <v>71</v>
      </c>
      <c r="B57" t="s">
        <v>26</v>
      </c>
      <c r="C57" s="3">
        <v>1.1739299999999999</v>
      </c>
      <c r="D57" s="6">
        <v>0.23574200000000001</v>
      </c>
      <c r="F57" s="6">
        <v>0.24223500000000001</v>
      </c>
      <c r="G57" s="5">
        <v>-6.4929100000000002E-3</v>
      </c>
    </row>
    <row r="58" spans="1:7" ht="12.75" x14ac:dyDescent="0.2">
      <c r="A58" t="s">
        <v>72</v>
      </c>
      <c r="B58" t="s">
        <v>26</v>
      </c>
      <c r="C58" s="3">
        <v>1.1739299999999999</v>
      </c>
      <c r="D58" s="6">
        <v>0.26634799999999997</v>
      </c>
      <c r="F58" s="6">
        <v>0.24223500000000001</v>
      </c>
      <c r="G58" s="7">
        <v>2.4113099999999998E-2</v>
      </c>
    </row>
    <row r="59" spans="1:7" ht="12.75" x14ac:dyDescent="0.2">
      <c r="A59" t="s">
        <v>64</v>
      </c>
      <c r="B59" t="s">
        <v>23</v>
      </c>
      <c r="C59" s="6">
        <v>0.53360399999999997</v>
      </c>
      <c r="D59" s="6">
        <v>0.17055200000000001</v>
      </c>
      <c r="E59" s="3">
        <v>1.23509</v>
      </c>
      <c r="F59" s="6">
        <v>0.17967900000000001</v>
      </c>
      <c r="G59" s="5">
        <v>-9.1276900000000008E-3</v>
      </c>
    </row>
    <row r="60" spans="1:7" ht="12.75" x14ac:dyDescent="0.2">
      <c r="A60" t="s">
        <v>73</v>
      </c>
      <c r="B60" t="s">
        <v>23</v>
      </c>
      <c r="C60" s="6">
        <v>0.53360399999999997</v>
      </c>
      <c r="D60" s="6">
        <v>0.172041</v>
      </c>
      <c r="F60" s="6">
        <v>0.17967900000000001</v>
      </c>
      <c r="G60" s="5">
        <v>-7.6381900000000004E-3</v>
      </c>
    </row>
    <row r="61" spans="1:7" ht="12.75" x14ac:dyDescent="0.2">
      <c r="A61" t="s">
        <v>74</v>
      </c>
      <c r="B61" t="s">
        <v>23</v>
      </c>
      <c r="C61" s="6">
        <v>0.53360399999999997</v>
      </c>
      <c r="D61" s="6">
        <v>0.16906199999999999</v>
      </c>
      <c r="F61" s="6">
        <v>0.17967900000000001</v>
      </c>
      <c r="G61" s="7">
        <v>-1.06172E-2</v>
      </c>
    </row>
    <row r="62" spans="1:7" ht="12.75" x14ac:dyDescent="0.2">
      <c r="A62" t="s">
        <v>64</v>
      </c>
      <c r="B62" t="s">
        <v>20</v>
      </c>
      <c r="C62" s="6">
        <v>0.24254700000000001</v>
      </c>
      <c r="D62" s="6">
        <v>0.14916599999999999</v>
      </c>
      <c r="E62" s="3">
        <v>2.73142</v>
      </c>
      <c r="F62" s="6">
        <v>0.154472</v>
      </c>
      <c r="G62" s="5">
        <v>-5.3063099999999998E-3</v>
      </c>
    </row>
    <row r="63" spans="1:7" ht="12.75" x14ac:dyDescent="0.2">
      <c r="A63" t="s">
        <v>75</v>
      </c>
      <c r="B63" t="s">
        <v>20</v>
      </c>
      <c r="C63" s="6">
        <v>0.24254700000000001</v>
      </c>
      <c r="D63" s="6">
        <v>0.146285</v>
      </c>
      <c r="F63" s="6">
        <v>0.154472</v>
      </c>
      <c r="G63" s="5">
        <v>-8.1873099999999997E-3</v>
      </c>
    </row>
    <row r="64" spans="1:7" ht="12.75" x14ac:dyDescent="0.2">
      <c r="A64" t="s">
        <v>76</v>
      </c>
      <c r="B64" t="s">
        <v>20</v>
      </c>
      <c r="C64" s="6">
        <v>0.24254700000000001</v>
      </c>
      <c r="D64" s="6">
        <v>0.15204699999999999</v>
      </c>
      <c r="F64" s="6">
        <v>0.154472</v>
      </c>
      <c r="G64" s="5">
        <v>-2.42531E-3</v>
      </c>
    </row>
    <row r="65" spans="1:13" ht="12.75" x14ac:dyDescent="0.2">
      <c r="A65" t="s">
        <v>64</v>
      </c>
      <c r="B65" t="s">
        <v>17</v>
      </c>
      <c r="C65" s="6">
        <v>0.110249</v>
      </c>
      <c r="D65" s="6">
        <v>0.144596</v>
      </c>
      <c r="E65" s="3">
        <v>1.30521</v>
      </c>
      <c r="F65" s="6">
        <v>0.144315</v>
      </c>
      <c r="G65" s="8">
        <v>2.8032399999999998E-4</v>
      </c>
    </row>
    <row r="66" spans="1:13" ht="12.75" x14ac:dyDescent="0.2">
      <c r="A66" t="s">
        <v>77</v>
      </c>
      <c r="B66" t="s">
        <v>17</v>
      </c>
      <c r="C66" s="6">
        <v>0.110249</v>
      </c>
      <c r="D66" s="6">
        <v>0.143261</v>
      </c>
      <c r="F66" s="6">
        <v>0.144315</v>
      </c>
      <c r="G66" s="5">
        <v>-1.05418E-3</v>
      </c>
    </row>
    <row r="67" spans="1:13" ht="12.75" x14ac:dyDescent="0.2">
      <c r="A67" t="s">
        <v>78</v>
      </c>
      <c r="B67" t="s">
        <v>17</v>
      </c>
      <c r="C67" s="6">
        <v>0.110249</v>
      </c>
      <c r="D67" s="6">
        <v>0.14593</v>
      </c>
      <c r="F67" s="6">
        <v>0.144315</v>
      </c>
      <c r="G67" s="5">
        <v>1.6148200000000001E-3</v>
      </c>
    </row>
    <row r="68" spans="1:13" ht="12.75" x14ac:dyDescent="0.2"/>
    <row r="69" spans="1:13" ht="12.75" x14ac:dyDescent="0.2"/>
    <row r="70" spans="1:13" ht="12.75" x14ac:dyDescent="0.2">
      <c r="A70" t="s">
        <v>6</v>
      </c>
    </row>
    <row r="71" spans="1:13" ht="12.75" x14ac:dyDescent="0.2">
      <c r="A71" t="s">
        <v>3</v>
      </c>
    </row>
    <row r="72" spans="1:13" ht="12.75" x14ac:dyDescent="0.2">
      <c r="A72" t="s">
        <v>79</v>
      </c>
      <c r="B72" s="1">
        <v>1</v>
      </c>
      <c r="C72" s="1">
        <v>2</v>
      </c>
      <c r="D72" s="1">
        <v>3</v>
      </c>
      <c r="E72" s="1">
        <v>4</v>
      </c>
      <c r="F72" s="1"/>
      <c r="G72" s="1"/>
      <c r="H72" s="1"/>
      <c r="I72" s="1"/>
      <c r="J72" s="1"/>
      <c r="K72" s="1"/>
      <c r="L72" s="1"/>
      <c r="M72" s="1"/>
    </row>
    <row r="73" spans="1:13" ht="12.75" x14ac:dyDescent="0.2">
      <c r="A73" t="s">
        <v>8</v>
      </c>
      <c r="B73" s="9">
        <v>0.143261</v>
      </c>
      <c r="C73" s="9">
        <v>0.14593</v>
      </c>
      <c r="D73" s="9">
        <v>0.66358499999999998</v>
      </c>
      <c r="E73" s="9">
        <v>0.69197799999999998</v>
      </c>
    </row>
    <row r="74" spans="1:13" ht="12.75" x14ac:dyDescent="0.2">
      <c r="A74" t="s">
        <v>9</v>
      </c>
      <c r="B74" s="9">
        <v>0.146285</v>
      </c>
      <c r="C74" s="9">
        <v>0.15204699999999999</v>
      </c>
      <c r="D74" s="9">
        <v>0.37147200000000002</v>
      </c>
      <c r="E74" s="9">
        <v>0.32756299999999999</v>
      </c>
    </row>
    <row r="75" spans="1:13" ht="12.75" x14ac:dyDescent="0.2">
      <c r="A75" t="s">
        <v>10</v>
      </c>
      <c r="B75" s="9">
        <v>0.172041</v>
      </c>
      <c r="C75" s="9">
        <v>0.16906199999999999</v>
      </c>
      <c r="D75" s="9">
        <v>0.22781000000000001</v>
      </c>
      <c r="E75" s="9">
        <v>0.21592500000000001</v>
      </c>
    </row>
    <row r="76" spans="1:13" ht="12.75" x14ac:dyDescent="0.2">
      <c r="A76" t="s">
        <v>11</v>
      </c>
      <c r="B76" s="9">
        <v>0.23574200000000001</v>
      </c>
      <c r="C76" s="9">
        <v>0.26634799999999997</v>
      </c>
      <c r="D76" s="9">
        <v>0.192833</v>
      </c>
      <c r="E76" s="9">
        <v>0.177369</v>
      </c>
    </row>
    <row r="77" spans="1:13" ht="12.75" x14ac:dyDescent="0.2">
      <c r="A77" t="s">
        <v>12</v>
      </c>
      <c r="B77" s="9">
        <v>0.41590700000000003</v>
      </c>
      <c r="C77" s="9">
        <v>0.41469800000000001</v>
      </c>
      <c r="D77" s="10">
        <v>1.04887</v>
      </c>
      <c r="E77" s="10">
        <v>1.01085</v>
      </c>
    </row>
    <row r="78" spans="1:13" ht="12.75" x14ac:dyDescent="0.2">
      <c r="A78" t="s">
        <v>13</v>
      </c>
      <c r="B78" s="9">
        <v>0.74121400000000004</v>
      </c>
      <c r="C78" s="9">
        <v>0.79311200000000004</v>
      </c>
      <c r="D78" s="9">
        <v>0.77564</v>
      </c>
      <c r="E78" s="9">
        <v>0.72785</v>
      </c>
    </row>
    <row r="79" spans="1:13" ht="12.75" x14ac:dyDescent="0.2">
      <c r="A79" t="s">
        <v>14</v>
      </c>
      <c r="B79" s="10">
        <v>1.74197</v>
      </c>
      <c r="C79" s="10">
        <v>1.3271299999999999</v>
      </c>
      <c r="D79" s="9">
        <v>0.75095599999999996</v>
      </c>
      <c r="E79" s="9">
        <v>0.66874800000000001</v>
      </c>
    </row>
    <row r="80" spans="1:13" ht="12.75" x14ac:dyDescent="0.2">
      <c r="A80" t="s">
        <v>15</v>
      </c>
      <c r="C80" s="10">
        <v>1.2844899999999999</v>
      </c>
      <c r="D80" s="9">
        <v>0.71158900000000003</v>
      </c>
      <c r="E80" s="9">
        <v>0.71335300000000001</v>
      </c>
    </row>
    <row r="81" spans="1:13" ht="12.75" x14ac:dyDescent="0.2"/>
    <row r="82" spans="1:13" ht="12.75" x14ac:dyDescent="0.2">
      <c r="A82" t="s">
        <v>59</v>
      </c>
      <c r="B82" s="1">
        <v>1</v>
      </c>
      <c r="C82" s="1">
        <v>2</v>
      </c>
      <c r="D82" s="1">
        <v>3</v>
      </c>
      <c r="E82" s="1">
        <v>4</v>
      </c>
      <c r="F82" s="1"/>
      <c r="G82" s="1"/>
      <c r="H82" s="1"/>
      <c r="I82" s="1"/>
      <c r="J82" s="1"/>
      <c r="K82" s="1"/>
      <c r="L82" s="1"/>
      <c r="M82" s="1"/>
    </row>
    <row r="83" spans="1:13" ht="12.75" x14ac:dyDescent="0.2">
      <c r="A83" t="s">
        <v>8</v>
      </c>
      <c r="B83" s="11">
        <v>9.5382700000000001E-2</v>
      </c>
      <c r="C83" s="9">
        <v>0.13245299999999999</v>
      </c>
      <c r="D83" s="10">
        <v>4.7596600000000002</v>
      </c>
      <c r="E83" s="10">
        <v>4.9816900000000004</v>
      </c>
    </row>
    <row r="84" spans="1:13" ht="12.75" x14ac:dyDescent="0.2">
      <c r="A84" t="s">
        <v>9</v>
      </c>
      <c r="B84" s="9">
        <v>0.13725599999999999</v>
      </c>
      <c r="C84" s="9">
        <v>0.212253</v>
      </c>
      <c r="D84" s="10">
        <v>2.35703</v>
      </c>
      <c r="E84" s="10">
        <v>1.96824</v>
      </c>
    </row>
    <row r="85" spans="1:13" ht="12.75" x14ac:dyDescent="0.2">
      <c r="A85" t="s">
        <v>10</v>
      </c>
      <c r="B85" s="9">
        <v>0.44878200000000001</v>
      </c>
      <c r="C85" s="9">
        <v>0.41504799999999997</v>
      </c>
      <c r="D85" s="10">
        <v>1.0323800000000001</v>
      </c>
      <c r="E85" s="9">
        <v>0.91349599999999997</v>
      </c>
    </row>
    <row r="86" spans="1:13" ht="12.75" x14ac:dyDescent="0.2">
      <c r="A86" t="s">
        <v>11</v>
      </c>
      <c r="B86" s="10">
        <v>1.11056</v>
      </c>
      <c r="C86" s="10">
        <v>1.40499</v>
      </c>
      <c r="D86" s="9">
        <v>0.67514099999999999</v>
      </c>
      <c r="E86" s="9">
        <v>0.50818300000000005</v>
      </c>
    </row>
    <row r="87" spans="1:13" ht="12.75" x14ac:dyDescent="0.2">
      <c r="A87" t="s">
        <v>12</v>
      </c>
      <c r="B87" s="10">
        <v>2.7406899999999998</v>
      </c>
      <c r="C87" s="10">
        <v>2.7303700000000002</v>
      </c>
      <c r="D87" s="10">
        <v>7.6660300000000001</v>
      </c>
      <c r="E87" s="10">
        <v>7.3878500000000003</v>
      </c>
    </row>
    <row r="88" spans="1:13" ht="12.75" x14ac:dyDescent="0.2">
      <c r="A88" t="s">
        <v>13</v>
      </c>
      <c r="B88" s="10">
        <v>5.3632</v>
      </c>
      <c r="C88" s="10">
        <v>5.7609000000000004</v>
      </c>
      <c r="D88" s="10">
        <v>5.6275000000000004</v>
      </c>
      <c r="E88" s="10">
        <v>5.2600699999999998</v>
      </c>
    </row>
    <row r="89" spans="1:13" ht="12.75" x14ac:dyDescent="0.2">
      <c r="A89" t="s">
        <v>14</v>
      </c>
      <c r="B89" s="2">
        <v>12.521000000000001</v>
      </c>
      <c r="C89" s="10">
        <v>9.6592900000000004</v>
      </c>
      <c r="D89" s="10">
        <v>5.4381899999999996</v>
      </c>
      <c r="E89" s="10">
        <v>4.8001500000000004</v>
      </c>
    </row>
    <row r="90" spans="1:13" ht="12.75" x14ac:dyDescent="0.2">
      <c r="A90" t="s">
        <v>15</v>
      </c>
      <c r="C90" s="10">
        <v>9.35825</v>
      </c>
      <c r="D90" s="10">
        <v>5.1341700000000001</v>
      </c>
      <c r="E90" s="10">
        <v>5.14785</v>
      </c>
    </row>
    <row r="91" spans="1:13" ht="12.75" x14ac:dyDescent="0.2"/>
    <row r="92" spans="1:13" ht="12.75" x14ac:dyDescent="0.2">
      <c r="A92" t="s">
        <v>16</v>
      </c>
      <c r="B92" s="1">
        <v>1</v>
      </c>
      <c r="C92" s="1">
        <v>2</v>
      </c>
      <c r="D92" s="1">
        <v>3</v>
      </c>
      <c r="E92" s="1">
        <v>4</v>
      </c>
      <c r="F92" s="1"/>
      <c r="G92" s="1"/>
      <c r="H92" s="1"/>
      <c r="I92" s="1"/>
      <c r="J92" s="1"/>
      <c r="K92" s="1"/>
      <c r="L92" s="1"/>
      <c r="M92" s="1"/>
    </row>
    <row r="93" spans="1:13" ht="12.75" x14ac:dyDescent="0.2">
      <c r="A93" t="s">
        <v>8</v>
      </c>
      <c r="B93" s="23" t="s">
        <v>196</v>
      </c>
      <c r="C93" s="23" t="s">
        <v>196</v>
      </c>
      <c r="D93" s="23" t="s">
        <v>204</v>
      </c>
      <c r="E93" s="23" t="s">
        <v>204</v>
      </c>
    </row>
    <row r="94" spans="1:13" ht="12.75" x14ac:dyDescent="0.2">
      <c r="A94" t="s">
        <v>9</v>
      </c>
      <c r="B94" s="23" t="s">
        <v>197</v>
      </c>
      <c r="C94" s="23" t="s">
        <v>197</v>
      </c>
      <c r="D94" s="23" t="s">
        <v>205</v>
      </c>
      <c r="E94" s="23" t="s">
        <v>205</v>
      </c>
    </row>
    <row r="95" spans="1:13" ht="12.75" x14ac:dyDescent="0.2">
      <c r="A95" t="s">
        <v>10</v>
      </c>
      <c r="B95" s="23" t="s">
        <v>198</v>
      </c>
      <c r="C95" s="23" t="s">
        <v>198</v>
      </c>
      <c r="D95" s="23" t="s">
        <v>207</v>
      </c>
      <c r="E95" s="23" t="s">
        <v>207</v>
      </c>
    </row>
    <row r="96" spans="1:13" ht="12.75" x14ac:dyDescent="0.2">
      <c r="A96" t="s">
        <v>11</v>
      </c>
      <c r="B96" s="23" t="s">
        <v>199</v>
      </c>
      <c r="C96" s="23" t="s">
        <v>199</v>
      </c>
      <c r="D96" s="23" t="s">
        <v>206</v>
      </c>
      <c r="E96" s="23" t="s">
        <v>206</v>
      </c>
    </row>
    <row r="97" spans="1:5" ht="12.75" x14ac:dyDescent="0.2">
      <c r="A97" t="s">
        <v>12</v>
      </c>
      <c r="B97" s="23" t="s">
        <v>200</v>
      </c>
      <c r="C97" s="23" t="s">
        <v>200</v>
      </c>
      <c r="D97" s="23" t="s">
        <v>208</v>
      </c>
      <c r="E97" s="23" t="s">
        <v>208</v>
      </c>
    </row>
    <row r="98" spans="1:5" ht="12.75" x14ac:dyDescent="0.2">
      <c r="A98" t="s">
        <v>13</v>
      </c>
      <c r="B98" s="23" t="s">
        <v>201</v>
      </c>
      <c r="C98" s="23" t="s">
        <v>201</v>
      </c>
      <c r="D98" s="23" t="s">
        <v>209</v>
      </c>
      <c r="E98" s="23" t="s">
        <v>209</v>
      </c>
    </row>
    <row r="99" spans="1:5" ht="12.75" x14ac:dyDescent="0.2">
      <c r="A99" t="s">
        <v>14</v>
      </c>
      <c r="B99" s="23" t="s">
        <v>202</v>
      </c>
      <c r="C99" s="23" t="s">
        <v>203</v>
      </c>
      <c r="D99" s="23" t="s">
        <v>210</v>
      </c>
      <c r="E99" s="23" t="s">
        <v>210</v>
      </c>
    </row>
    <row r="100" spans="1:5" ht="12.75" x14ac:dyDescent="0.2">
      <c r="A100" t="s">
        <v>15</v>
      </c>
      <c r="B100" s="23" t="s">
        <v>39</v>
      </c>
      <c r="C100" s="23" t="s">
        <v>203</v>
      </c>
      <c r="D100" s="23" t="s">
        <v>211</v>
      </c>
      <c r="E100" s="23" t="s">
        <v>211</v>
      </c>
    </row>
    <row r="102" spans="1:5" ht="12.75" x14ac:dyDescent="0.2">
      <c r="A102" t="s">
        <v>80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Blank Subtraction 1_03"/>
  <dimension ref="A1:M33"/>
  <sheetViews>
    <sheetView workbookViewId="0">
      <selection activeCell="M29" sqref="M29"/>
    </sheetView>
  </sheetViews>
  <sheetFormatPr defaultColWidth="9.140625" defaultRowHeight="15" customHeight="1" x14ac:dyDescent="0.2"/>
  <cols>
    <col min="1" max="1" width="15.140625" customWidth="1"/>
    <col min="2" max="2" width="12.42578125" customWidth="1"/>
    <col min="3" max="5" width="11.28515625" customWidth="1"/>
    <col min="6" max="10" width="3.140625" customWidth="1"/>
    <col min="11" max="13" width="4.140625" customWidth="1"/>
  </cols>
  <sheetData>
    <row r="1" spans="1:13" ht="15" customHeight="1" x14ac:dyDescent="0.2">
      <c r="A1" t="s">
        <v>0</v>
      </c>
    </row>
    <row r="2" spans="1:13" ht="15" customHeight="1" x14ac:dyDescent="0.2">
      <c r="A2" t="s">
        <v>1</v>
      </c>
    </row>
    <row r="3" spans="1:13" ht="15" customHeight="1" x14ac:dyDescent="0.2">
      <c r="A3" t="s">
        <v>2</v>
      </c>
    </row>
    <row r="4" spans="1:13" ht="15" customHeight="1" x14ac:dyDescent="0.2">
      <c r="A4" t="s">
        <v>3</v>
      </c>
    </row>
    <row r="5" spans="1:13" ht="15" customHeight="1" x14ac:dyDescent="0.2">
      <c r="A5" t="s">
        <v>81</v>
      </c>
    </row>
    <row r="9" spans="1:13" ht="15" customHeight="1" x14ac:dyDescent="0.2">
      <c r="A9" t="s">
        <v>5</v>
      </c>
    </row>
    <row r="10" spans="1:13" ht="15" customHeight="1" x14ac:dyDescent="0.2">
      <c r="A10" t="s">
        <v>3</v>
      </c>
    </row>
    <row r="11" spans="1:13" ht="15" customHeight="1" x14ac:dyDescent="0.2">
      <c r="A11" t="s">
        <v>6</v>
      </c>
    </row>
    <row r="12" spans="1:13" ht="15" customHeight="1" x14ac:dyDescent="0.2">
      <c r="A12" t="s">
        <v>3</v>
      </c>
    </row>
    <row r="13" spans="1:13" ht="15" customHeight="1" x14ac:dyDescent="0.2">
      <c r="A13" s="23" t="s">
        <v>82</v>
      </c>
      <c r="B13" s="24">
        <v>1</v>
      </c>
      <c r="C13" s="24">
        <v>2</v>
      </c>
      <c r="D13" s="24">
        <v>3</v>
      </c>
      <c r="E13" s="24">
        <v>4</v>
      </c>
      <c r="F13" s="1"/>
      <c r="G13" s="1"/>
      <c r="H13" s="1"/>
      <c r="I13" s="1"/>
      <c r="J13" s="1"/>
      <c r="K13" s="1"/>
      <c r="L13" s="1"/>
      <c r="M13" s="1"/>
    </row>
    <row r="14" spans="1:13" ht="15" customHeight="1" x14ac:dyDescent="0.2">
      <c r="A14" s="23" t="s">
        <v>8</v>
      </c>
      <c r="B14" s="29">
        <v>8.2290000000000002E-3</v>
      </c>
      <c r="C14" s="25">
        <v>1.0898E-2</v>
      </c>
      <c r="D14" s="26">
        <v>0.52855300000000005</v>
      </c>
      <c r="E14" s="26">
        <v>0.55694600000000005</v>
      </c>
    </row>
    <row r="15" spans="1:13" ht="15" customHeight="1" x14ac:dyDescent="0.2">
      <c r="A15" s="23" t="s">
        <v>9</v>
      </c>
      <c r="B15" s="25">
        <v>1.1253000000000001E-2</v>
      </c>
      <c r="C15" s="25">
        <v>1.7014999999999999E-2</v>
      </c>
      <c r="D15" s="26">
        <v>0.23644000000000001</v>
      </c>
      <c r="E15" s="26">
        <v>0.19253100000000001</v>
      </c>
    </row>
    <row r="16" spans="1:13" ht="15" customHeight="1" x14ac:dyDescent="0.2">
      <c r="A16" s="23" t="s">
        <v>10</v>
      </c>
      <c r="B16" s="25">
        <v>3.7009E-2</v>
      </c>
      <c r="C16" s="25">
        <v>3.4029999999999998E-2</v>
      </c>
      <c r="D16" s="25">
        <v>9.2777999999999999E-2</v>
      </c>
      <c r="E16" s="25">
        <v>8.0893000000000007E-2</v>
      </c>
    </row>
    <row r="17" spans="1:13" ht="15" customHeight="1" x14ac:dyDescent="0.2">
      <c r="A17" s="23" t="s">
        <v>11</v>
      </c>
      <c r="B17" s="26">
        <v>0.10070999999999999</v>
      </c>
      <c r="C17" s="26">
        <v>0.13131599999999999</v>
      </c>
      <c r="D17" s="25">
        <v>5.7800999999999998E-2</v>
      </c>
      <c r="E17" s="25">
        <v>4.2337E-2</v>
      </c>
    </row>
    <row r="18" spans="1:13" ht="15" customHeight="1" x14ac:dyDescent="0.2">
      <c r="A18" s="23" t="s">
        <v>12</v>
      </c>
      <c r="B18" s="26">
        <v>0.28087499999999999</v>
      </c>
      <c r="C18" s="26">
        <v>0.27966600000000003</v>
      </c>
      <c r="D18" s="26">
        <v>0.91383800000000004</v>
      </c>
      <c r="E18" s="26">
        <v>0.87581799999999999</v>
      </c>
    </row>
    <row r="19" spans="1:13" ht="15" customHeight="1" x14ac:dyDescent="0.2">
      <c r="A19" s="23" t="s">
        <v>13</v>
      </c>
      <c r="B19" s="26">
        <v>0.606182</v>
      </c>
      <c r="C19" s="26">
        <v>0.65808</v>
      </c>
      <c r="D19" s="26">
        <v>0.64060799999999996</v>
      </c>
      <c r="E19" s="26">
        <v>0.59281799999999996</v>
      </c>
    </row>
    <row r="20" spans="1:13" ht="15" customHeight="1" x14ac:dyDescent="0.2">
      <c r="A20" s="23" t="s">
        <v>14</v>
      </c>
      <c r="B20" s="27">
        <v>1.60694</v>
      </c>
      <c r="C20" s="27">
        <v>1.1920999999999999</v>
      </c>
      <c r="D20" s="26">
        <v>0.61592400000000003</v>
      </c>
      <c r="E20" s="26">
        <v>0.53371599999999997</v>
      </c>
    </row>
    <row r="21" spans="1:13" ht="15" customHeight="1" x14ac:dyDescent="0.2">
      <c r="A21" s="23" t="s">
        <v>15</v>
      </c>
      <c r="B21" s="31">
        <v>0</v>
      </c>
      <c r="C21" s="27">
        <v>1.1494599999999999</v>
      </c>
      <c r="D21" s="26">
        <v>0.57655699999999999</v>
      </c>
      <c r="E21" s="26">
        <v>0.57832099999999997</v>
      </c>
    </row>
    <row r="23" spans="1:13" ht="15" customHeight="1" x14ac:dyDescent="0.2">
      <c r="A23" s="23" t="s">
        <v>16</v>
      </c>
      <c r="B23" s="24">
        <v>1</v>
      </c>
      <c r="C23" s="24">
        <v>2</v>
      </c>
      <c r="D23" s="24">
        <v>3</v>
      </c>
      <c r="E23" s="24">
        <v>4</v>
      </c>
      <c r="F23" s="1"/>
      <c r="G23" s="1"/>
      <c r="H23" s="1"/>
      <c r="I23" s="1"/>
      <c r="J23" s="1"/>
      <c r="K23" s="1"/>
      <c r="L23" s="1"/>
      <c r="M23" s="1"/>
    </row>
    <row r="24" spans="1:13" ht="15" customHeight="1" x14ac:dyDescent="0.2">
      <c r="A24" s="23" t="s">
        <v>8</v>
      </c>
      <c r="B24" s="23" t="s">
        <v>196</v>
      </c>
      <c r="C24" s="23" t="s">
        <v>196</v>
      </c>
      <c r="D24" s="23" t="s">
        <v>204</v>
      </c>
      <c r="E24" s="23" t="s">
        <v>204</v>
      </c>
    </row>
    <row r="25" spans="1:13" ht="15" customHeight="1" x14ac:dyDescent="0.2">
      <c r="A25" s="23" t="s">
        <v>9</v>
      </c>
      <c r="B25" s="23" t="s">
        <v>197</v>
      </c>
      <c r="C25" s="23" t="s">
        <v>197</v>
      </c>
      <c r="D25" s="23" t="s">
        <v>205</v>
      </c>
      <c r="E25" s="23" t="s">
        <v>205</v>
      </c>
    </row>
    <row r="26" spans="1:13" ht="15" customHeight="1" x14ac:dyDescent="0.2">
      <c r="A26" s="23" t="s">
        <v>10</v>
      </c>
      <c r="B26" s="23" t="s">
        <v>198</v>
      </c>
      <c r="C26" s="23" t="s">
        <v>198</v>
      </c>
      <c r="D26" s="23" t="s">
        <v>207</v>
      </c>
      <c r="E26" s="23" t="s">
        <v>207</v>
      </c>
    </row>
    <row r="27" spans="1:13" ht="15" customHeight="1" x14ac:dyDescent="0.2">
      <c r="A27" s="23" t="s">
        <v>11</v>
      </c>
      <c r="B27" s="23" t="s">
        <v>199</v>
      </c>
      <c r="C27" s="23" t="s">
        <v>199</v>
      </c>
      <c r="D27" s="23" t="s">
        <v>206</v>
      </c>
      <c r="E27" s="23" t="s">
        <v>206</v>
      </c>
    </row>
    <row r="28" spans="1:13" ht="15" customHeight="1" x14ac:dyDescent="0.2">
      <c r="A28" s="23" t="s">
        <v>12</v>
      </c>
      <c r="B28" s="23" t="s">
        <v>200</v>
      </c>
      <c r="C28" s="23" t="s">
        <v>200</v>
      </c>
      <c r="D28" s="23" t="s">
        <v>208</v>
      </c>
      <c r="E28" s="23" t="s">
        <v>208</v>
      </c>
    </row>
    <row r="29" spans="1:13" ht="15" customHeight="1" x14ac:dyDescent="0.2">
      <c r="A29" s="23" t="s">
        <v>13</v>
      </c>
      <c r="B29" s="23" t="s">
        <v>201</v>
      </c>
      <c r="C29" s="23" t="s">
        <v>201</v>
      </c>
      <c r="D29" s="23" t="s">
        <v>209</v>
      </c>
      <c r="E29" s="23" t="s">
        <v>209</v>
      </c>
    </row>
    <row r="30" spans="1:13" ht="15" customHeight="1" x14ac:dyDescent="0.2">
      <c r="A30" s="23" t="s">
        <v>14</v>
      </c>
      <c r="B30" s="23" t="s">
        <v>202</v>
      </c>
      <c r="C30" s="23" t="s">
        <v>203</v>
      </c>
      <c r="D30" s="23" t="s">
        <v>210</v>
      </c>
      <c r="E30" s="23" t="s">
        <v>210</v>
      </c>
    </row>
    <row r="31" spans="1:13" ht="15" customHeight="1" x14ac:dyDescent="0.2">
      <c r="A31" s="23" t="s">
        <v>15</v>
      </c>
      <c r="B31" s="23" t="s">
        <v>39</v>
      </c>
      <c r="C31" s="23" t="s">
        <v>203</v>
      </c>
      <c r="D31" s="23" t="s">
        <v>211</v>
      </c>
      <c r="E31" s="23" t="s">
        <v>211</v>
      </c>
    </row>
    <row r="33" spans="1:1" ht="15" customHeight="1" x14ac:dyDescent="0.2">
      <c r="A33" t="s">
        <v>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tandard Curve 2_04"/>
  <dimension ref="A1:Q109"/>
  <sheetViews>
    <sheetView tabSelected="1" topLeftCell="A73" zoomScale="145" zoomScaleNormal="145" workbookViewId="0">
      <selection activeCell="K101" sqref="K101"/>
    </sheetView>
  </sheetViews>
  <sheetFormatPr defaultColWidth="9.140625" defaultRowHeight="15" customHeight="1" x14ac:dyDescent="0.2"/>
  <cols>
    <col min="1" max="1" width="12.7109375" customWidth="1"/>
    <col min="2" max="2" width="12.42578125" customWidth="1"/>
    <col min="3" max="3" width="14.28515625" customWidth="1"/>
    <col min="4" max="4" width="14.42578125" customWidth="1"/>
    <col min="5" max="5" width="11.28515625" customWidth="1"/>
    <col min="6" max="6" width="12.5703125" customWidth="1"/>
    <col min="7" max="7" width="13.42578125" customWidth="1"/>
    <col min="9" max="9" width="8.5703125" customWidth="1"/>
    <col min="10" max="10" width="16.85546875" customWidth="1"/>
    <col min="11" max="11" width="12.140625" customWidth="1"/>
    <col min="12" max="12" width="12" customWidth="1"/>
    <col min="14" max="14" width="9.140625" customWidth="1"/>
  </cols>
  <sheetData>
    <row r="1" spans="1:1" ht="15" customHeight="1" x14ac:dyDescent="0.2">
      <c r="A1" t="s">
        <v>0</v>
      </c>
    </row>
    <row r="2" spans="1:1" ht="15" customHeight="1" x14ac:dyDescent="0.2">
      <c r="A2" t="s">
        <v>1</v>
      </c>
    </row>
    <row r="3" spans="1:1" ht="15" customHeight="1" x14ac:dyDescent="0.2">
      <c r="A3" t="s">
        <v>2</v>
      </c>
    </row>
    <row r="4" spans="1:1" ht="15" customHeight="1" x14ac:dyDescent="0.2">
      <c r="A4" t="s">
        <v>3</v>
      </c>
    </row>
    <row r="5" spans="1:1" ht="15" customHeight="1" x14ac:dyDescent="0.2">
      <c r="A5" t="s">
        <v>84</v>
      </c>
    </row>
    <row r="7" spans="1:1" ht="15" customHeight="1" x14ac:dyDescent="0.2">
      <c r="A7" t="s">
        <v>45</v>
      </c>
    </row>
    <row r="8" spans="1:1" ht="15" customHeight="1" x14ac:dyDescent="0.2">
      <c r="A8" t="s">
        <v>46</v>
      </c>
    </row>
    <row r="9" spans="1:1" ht="15" customHeight="1" x14ac:dyDescent="0.2">
      <c r="A9" t="s">
        <v>47</v>
      </c>
    </row>
    <row r="10" spans="1:1" ht="15" customHeight="1" x14ac:dyDescent="0.2">
      <c r="A10" t="s">
        <v>5</v>
      </c>
    </row>
    <row r="11" spans="1:1" ht="15" customHeight="1" x14ac:dyDescent="0.2">
      <c r="A11" t="s">
        <v>48</v>
      </c>
    </row>
    <row r="12" spans="1:1" ht="15" customHeight="1" x14ac:dyDescent="0.2">
      <c r="A12" t="s">
        <v>49</v>
      </c>
    </row>
    <row r="13" spans="1:1" ht="15" customHeight="1" x14ac:dyDescent="0.2">
      <c r="A13" t="s">
        <v>3</v>
      </c>
    </row>
    <row r="15" spans="1:1" ht="15" customHeight="1" x14ac:dyDescent="0.2">
      <c r="A15" t="s">
        <v>3</v>
      </c>
    </row>
    <row r="36" spans="1:7" ht="15" customHeight="1" x14ac:dyDescent="0.2">
      <c r="A36" t="s">
        <v>85</v>
      </c>
    </row>
    <row r="38" spans="1:7" ht="15" customHeight="1" x14ac:dyDescent="0.2">
      <c r="A38" t="s">
        <v>51</v>
      </c>
    </row>
    <row r="39" spans="1:7" ht="12.75" x14ac:dyDescent="0.2">
      <c r="A39" t="s">
        <v>52</v>
      </c>
    </row>
    <row r="40" spans="1:7" ht="12.75" x14ac:dyDescent="0.2">
      <c r="A40" t="s">
        <v>53</v>
      </c>
      <c r="B40" s="5">
        <v>2.4280899999999999E-3</v>
      </c>
    </row>
    <row r="41" spans="1:7" ht="12.75" x14ac:dyDescent="0.2">
      <c r="A41" t="s">
        <v>54</v>
      </c>
      <c r="B41" s="3">
        <v>1.1528099999999999</v>
      </c>
    </row>
    <row r="42" spans="1:7" ht="12.75" x14ac:dyDescent="0.2">
      <c r="A42" t="s">
        <v>55</v>
      </c>
      <c r="B42">
        <v>1919560</v>
      </c>
    </row>
    <row r="43" spans="1:7" ht="12.75" x14ac:dyDescent="0.2">
      <c r="A43" t="s">
        <v>56</v>
      </c>
      <c r="B43">
        <v>1525120</v>
      </c>
    </row>
    <row r="44" spans="1:7" ht="12.75" x14ac:dyDescent="0.2"/>
    <row r="45" spans="1:7" ht="12.75" x14ac:dyDescent="0.2">
      <c r="A45" t="s">
        <v>57</v>
      </c>
    </row>
    <row r="46" spans="1:7" ht="12.75" x14ac:dyDescent="0.2">
      <c r="A46" t="s">
        <v>3</v>
      </c>
    </row>
    <row r="47" spans="1:7" ht="12.75" x14ac:dyDescent="0.2">
      <c r="A47" t="s">
        <v>58</v>
      </c>
      <c r="B47" t="s">
        <v>16</v>
      </c>
      <c r="C47" t="s">
        <v>59</v>
      </c>
      <c r="D47" t="s">
        <v>60</v>
      </c>
      <c r="E47" t="s">
        <v>61</v>
      </c>
      <c r="F47" t="s">
        <v>62</v>
      </c>
      <c r="G47" t="s">
        <v>63</v>
      </c>
    </row>
    <row r="48" spans="1:7" ht="12.75" x14ac:dyDescent="0.2">
      <c r="A48" t="s">
        <v>64</v>
      </c>
      <c r="B48" t="s">
        <v>35</v>
      </c>
      <c r="C48" s="4">
        <v>12.5</v>
      </c>
      <c r="D48" s="3">
        <v>1.60694</v>
      </c>
      <c r="E48" t="s">
        <v>65</v>
      </c>
      <c r="F48" s="3">
        <v>1.6038300000000001</v>
      </c>
      <c r="G48" s="5">
        <v>3.1053500000000002E-3</v>
      </c>
    </row>
    <row r="49" spans="1:7" ht="12.75" x14ac:dyDescent="0.2">
      <c r="A49" t="s">
        <v>66</v>
      </c>
      <c r="B49" t="s">
        <v>35</v>
      </c>
      <c r="C49" s="4">
        <v>12.5</v>
      </c>
      <c r="D49" s="3">
        <v>1.60694</v>
      </c>
      <c r="F49" s="3">
        <v>1.6038300000000001</v>
      </c>
      <c r="G49" s="5">
        <v>3.1053500000000002E-3</v>
      </c>
    </row>
    <row r="50" spans="1:7" ht="12.75" x14ac:dyDescent="0.2">
      <c r="A50" t="s">
        <v>64</v>
      </c>
      <c r="B50" t="s">
        <v>32</v>
      </c>
      <c r="C50" s="3">
        <v>5.6818200000000001</v>
      </c>
      <c r="D50" s="6">
        <v>0.632131</v>
      </c>
      <c r="E50" s="3">
        <v>5.8053499999999998</v>
      </c>
      <c r="F50" s="6">
        <v>0.64771599999999996</v>
      </c>
      <c r="G50" s="7">
        <v>-1.55847E-2</v>
      </c>
    </row>
    <row r="51" spans="1:7" ht="12.75" x14ac:dyDescent="0.2">
      <c r="A51" t="s">
        <v>67</v>
      </c>
      <c r="B51" t="s">
        <v>32</v>
      </c>
      <c r="C51" s="3">
        <v>5.6818200000000001</v>
      </c>
      <c r="D51" s="6">
        <v>0.606182</v>
      </c>
      <c r="F51" s="6">
        <v>0.64771599999999996</v>
      </c>
      <c r="G51" s="7">
        <v>-4.15337E-2</v>
      </c>
    </row>
    <row r="52" spans="1:7" ht="12.75" x14ac:dyDescent="0.2">
      <c r="A52" t="s">
        <v>68</v>
      </c>
      <c r="B52" t="s">
        <v>32</v>
      </c>
      <c r="C52" s="3">
        <v>5.6818200000000001</v>
      </c>
      <c r="D52" s="6">
        <v>0.65808</v>
      </c>
      <c r="F52" s="6">
        <v>0.64771599999999996</v>
      </c>
      <c r="G52" s="7">
        <v>1.03643E-2</v>
      </c>
    </row>
    <row r="53" spans="1:7" ht="12.75" x14ac:dyDescent="0.2">
      <c r="A53" t="s">
        <v>64</v>
      </c>
      <c r="B53" t="s">
        <v>29</v>
      </c>
      <c r="C53" s="3">
        <v>2.58264</v>
      </c>
      <c r="D53" s="6">
        <v>0.28027099999999999</v>
      </c>
      <c r="E53" s="6">
        <v>0.30502400000000002</v>
      </c>
      <c r="F53" s="6">
        <v>0.26244699999999999</v>
      </c>
      <c r="G53" s="7">
        <v>1.7823200000000001E-2</v>
      </c>
    </row>
    <row r="54" spans="1:7" ht="12.75" x14ac:dyDescent="0.2">
      <c r="A54" t="s">
        <v>69</v>
      </c>
      <c r="B54" t="s">
        <v>29</v>
      </c>
      <c r="C54" s="3">
        <v>2.58264</v>
      </c>
      <c r="D54" s="6">
        <v>0.28087499999999999</v>
      </c>
      <c r="F54" s="6">
        <v>0.26244699999999999</v>
      </c>
      <c r="G54" s="7">
        <v>1.8427700000000002E-2</v>
      </c>
    </row>
    <row r="55" spans="1:7" ht="12.75" x14ac:dyDescent="0.2">
      <c r="A55" t="s">
        <v>70</v>
      </c>
      <c r="B55" t="s">
        <v>29</v>
      </c>
      <c r="C55" s="3">
        <v>2.58264</v>
      </c>
      <c r="D55" s="6">
        <v>0.27966600000000003</v>
      </c>
      <c r="F55" s="6">
        <v>0.26244699999999999</v>
      </c>
      <c r="G55" s="7">
        <v>1.72187E-2</v>
      </c>
    </row>
    <row r="56" spans="1:7" ht="12.75" x14ac:dyDescent="0.2">
      <c r="A56" t="s">
        <v>64</v>
      </c>
      <c r="B56" t="s">
        <v>26</v>
      </c>
      <c r="C56" s="3">
        <v>1.1739299999999999</v>
      </c>
      <c r="D56" s="6">
        <v>0.11601300000000001</v>
      </c>
      <c r="E56" s="4">
        <v>18.654599999999999</v>
      </c>
      <c r="F56" s="6">
        <v>0.10720300000000001</v>
      </c>
      <c r="G56" s="5">
        <v>8.8099500000000004E-3</v>
      </c>
    </row>
    <row r="57" spans="1:7" ht="12.75" x14ac:dyDescent="0.2">
      <c r="A57" t="s">
        <v>71</v>
      </c>
      <c r="B57" t="s">
        <v>26</v>
      </c>
      <c r="C57" s="3">
        <v>1.1739299999999999</v>
      </c>
      <c r="D57" s="6">
        <v>0.10070999999999999</v>
      </c>
      <c r="F57" s="6">
        <v>0.10720300000000001</v>
      </c>
      <c r="G57" s="5">
        <v>-6.4930500000000002E-3</v>
      </c>
    </row>
    <row r="58" spans="1:7" ht="12.75" x14ac:dyDescent="0.2">
      <c r="A58" t="s">
        <v>72</v>
      </c>
      <c r="B58" t="s">
        <v>26</v>
      </c>
      <c r="C58" s="3">
        <v>1.1739299999999999</v>
      </c>
      <c r="D58" s="6">
        <v>0.13131599999999999</v>
      </c>
      <c r="F58" s="6">
        <v>0.10720300000000001</v>
      </c>
      <c r="G58" s="7">
        <v>2.41129E-2</v>
      </c>
    </row>
    <row r="59" spans="1:7" ht="12.75" x14ac:dyDescent="0.2">
      <c r="A59" t="s">
        <v>64</v>
      </c>
      <c r="B59" t="s">
        <v>23</v>
      </c>
      <c r="C59" s="6">
        <v>0.53360399999999997</v>
      </c>
      <c r="D59" s="7">
        <v>3.5519500000000002E-2</v>
      </c>
      <c r="E59" s="3">
        <v>5.9304600000000001</v>
      </c>
      <c r="F59" s="7">
        <v>4.4647199999999998E-2</v>
      </c>
      <c r="G59" s="5">
        <v>-9.1277400000000005E-3</v>
      </c>
    </row>
    <row r="60" spans="1:7" ht="12.75" x14ac:dyDescent="0.2">
      <c r="A60" t="s">
        <v>73</v>
      </c>
      <c r="B60" t="s">
        <v>23</v>
      </c>
      <c r="C60" s="6">
        <v>0.53360399999999997</v>
      </c>
      <c r="D60" s="7">
        <v>3.7009E-2</v>
      </c>
      <c r="F60" s="7">
        <v>4.4647199999999998E-2</v>
      </c>
      <c r="G60" s="5">
        <v>-7.6382400000000001E-3</v>
      </c>
    </row>
    <row r="61" spans="1:7" ht="12.75" x14ac:dyDescent="0.2">
      <c r="A61" t="s">
        <v>74</v>
      </c>
      <c r="B61" t="s">
        <v>23</v>
      </c>
      <c r="C61" s="6">
        <v>0.53360399999999997</v>
      </c>
      <c r="D61" s="7">
        <v>3.4029999999999998E-2</v>
      </c>
      <c r="F61" s="7">
        <v>4.4647199999999998E-2</v>
      </c>
      <c r="G61" s="7">
        <v>-1.06172E-2</v>
      </c>
    </row>
    <row r="62" spans="1:7" ht="12.75" x14ac:dyDescent="0.2">
      <c r="A62" t="s">
        <v>64</v>
      </c>
      <c r="B62" t="s">
        <v>20</v>
      </c>
      <c r="C62" s="6">
        <v>0.24254700000000001</v>
      </c>
      <c r="D62" s="7">
        <v>1.4134000000000001E-2</v>
      </c>
      <c r="E62" s="4">
        <v>28.826599999999999</v>
      </c>
      <c r="F62" s="7">
        <v>1.9440300000000001E-2</v>
      </c>
      <c r="G62" s="5">
        <v>-5.3063299999999997E-3</v>
      </c>
    </row>
    <row r="63" spans="1:7" ht="12.75" x14ac:dyDescent="0.2">
      <c r="A63" t="s">
        <v>75</v>
      </c>
      <c r="B63" t="s">
        <v>20</v>
      </c>
      <c r="C63" s="6">
        <v>0.24254700000000001</v>
      </c>
      <c r="D63" s="7">
        <v>1.1253000000000001E-2</v>
      </c>
      <c r="F63" s="7">
        <v>1.9440300000000001E-2</v>
      </c>
      <c r="G63" s="5">
        <v>-8.1873299999999996E-3</v>
      </c>
    </row>
    <row r="64" spans="1:7" ht="12.75" x14ac:dyDescent="0.2">
      <c r="A64" t="s">
        <v>76</v>
      </c>
      <c r="B64" t="s">
        <v>20</v>
      </c>
      <c r="C64" s="6">
        <v>0.24254700000000001</v>
      </c>
      <c r="D64" s="7">
        <v>1.7014999999999999E-2</v>
      </c>
      <c r="F64" s="7">
        <v>1.9440300000000001E-2</v>
      </c>
      <c r="G64" s="5">
        <v>-2.4253299999999998E-3</v>
      </c>
    </row>
    <row r="65" spans="1:7" ht="12.75" x14ac:dyDescent="0.2">
      <c r="A65" t="s">
        <v>64</v>
      </c>
      <c r="B65" t="s">
        <v>17</v>
      </c>
      <c r="C65" s="6">
        <v>0.110249</v>
      </c>
      <c r="D65" s="5">
        <v>9.5635000000000008E-3</v>
      </c>
      <c r="E65" s="4">
        <v>19.734100000000002</v>
      </c>
      <c r="F65" s="5">
        <v>9.2831800000000003E-3</v>
      </c>
      <c r="G65" s="8">
        <v>2.8031600000000002E-4</v>
      </c>
    </row>
    <row r="66" spans="1:7" ht="12.75" x14ac:dyDescent="0.2">
      <c r="A66" t="s">
        <v>77</v>
      </c>
      <c r="B66" t="s">
        <v>17</v>
      </c>
      <c r="C66" s="6">
        <v>0.110249</v>
      </c>
      <c r="D66" s="5">
        <v>8.2290000000000002E-3</v>
      </c>
      <c r="F66" s="5">
        <v>9.2831800000000003E-3</v>
      </c>
      <c r="G66" s="5">
        <v>-1.05418E-3</v>
      </c>
    </row>
    <row r="67" spans="1:7" ht="12.75" x14ac:dyDescent="0.2">
      <c r="A67" t="s">
        <v>78</v>
      </c>
      <c r="B67" t="s">
        <v>17</v>
      </c>
      <c r="C67" s="6">
        <v>0.110249</v>
      </c>
      <c r="D67" s="7">
        <v>1.0898E-2</v>
      </c>
      <c r="F67" s="5">
        <v>9.2831800000000003E-3</v>
      </c>
      <c r="G67" s="5">
        <v>1.6148200000000001E-3</v>
      </c>
    </row>
    <row r="68" spans="1:7" ht="12.75" x14ac:dyDescent="0.2"/>
    <row r="69" spans="1:7" ht="12.75" x14ac:dyDescent="0.2"/>
    <row r="70" spans="1:7" ht="12.75" x14ac:dyDescent="0.2">
      <c r="A70" t="s">
        <v>6</v>
      </c>
    </row>
    <row r="71" spans="1:7" ht="12.75" x14ac:dyDescent="0.2">
      <c r="A71" t="s">
        <v>3</v>
      </c>
    </row>
    <row r="72" spans="1:7" ht="12.75" x14ac:dyDescent="0.2">
      <c r="A72" s="23" t="s">
        <v>79</v>
      </c>
      <c r="B72" s="24">
        <v>1</v>
      </c>
      <c r="C72" s="24">
        <v>2</v>
      </c>
      <c r="D72" s="24">
        <v>3</v>
      </c>
      <c r="E72" s="24">
        <v>4</v>
      </c>
      <c r="F72" s="1"/>
      <c r="G72" s="1"/>
    </row>
    <row r="73" spans="1:7" ht="12.75" x14ac:dyDescent="0.2">
      <c r="A73" s="23" t="s">
        <v>8</v>
      </c>
      <c r="B73" s="29">
        <v>8.2290000000000002E-3</v>
      </c>
      <c r="C73" s="25">
        <v>1.0898E-2</v>
      </c>
      <c r="D73" s="26">
        <v>0.52855300000000005</v>
      </c>
      <c r="E73" s="26">
        <v>0.55694600000000005</v>
      </c>
    </row>
    <row r="74" spans="1:7" ht="12.75" x14ac:dyDescent="0.2">
      <c r="A74" s="23" t="s">
        <v>9</v>
      </c>
      <c r="B74" s="25">
        <v>1.1253000000000001E-2</v>
      </c>
      <c r="C74" s="25">
        <v>1.7014999999999999E-2</v>
      </c>
      <c r="D74" s="26">
        <v>0.23644000000000001</v>
      </c>
      <c r="E74" s="26">
        <v>0.19253100000000001</v>
      </c>
    </row>
    <row r="75" spans="1:7" ht="12.75" x14ac:dyDescent="0.2">
      <c r="A75" s="23" t="s">
        <v>10</v>
      </c>
      <c r="B75" s="25">
        <v>3.7009E-2</v>
      </c>
      <c r="C75" s="25">
        <v>3.4029999999999998E-2</v>
      </c>
      <c r="D75" s="25">
        <v>9.2777999999999999E-2</v>
      </c>
      <c r="E75" s="25">
        <v>8.0893000000000007E-2</v>
      </c>
    </row>
    <row r="76" spans="1:7" ht="12.75" x14ac:dyDescent="0.2">
      <c r="A76" s="23" t="s">
        <v>11</v>
      </c>
      <c r="B76" s="26">
        <v>0.10070999999999999</v>
      </c>
      <c r="C76" s="26">
        <v>0.13131599999999999</v>
      </c>
      <c r="D76" s="25">
        <v>5.7800999999999998E-2</v>
      </c>
      <c r="E76" s="25">
        <v>4.2337E-2</v>
      </c>
    </row>
    <row r="77" spans="1:7" ht="12.75" x14ac:dyDescent="0.2">
      <c r="A77" s="23" t="s">
        <v>12</v>
      </c>
      <c r="B77" s="26">
        <v>0.28087499999999999</v>
      </c>
      <c r="C77" s="26">
        <v>0.27966600000000003</v>
      </c>
      <c r="D77" s="26">
        <v>0.91383800000000004</v>
      </c>
      <c r="E77" s="26">
        <v>0.87581799999999999</v>
      </c>
    </row>
    <row r="78" spans="1:7" ht="12.75" x14ac:dyDescent="0.2">
      <c r="A78" s="23" t="s">
        <v>13</v>
      </c>
      <c r="B78" s="26">
        <v>0.606182</v>
      </c>
      <c r="C78" s="26">
        <v>0.65808</v>
      </c>
      <c r="D78" s="26">
        <v>0.64060799999999996</v>
      </c>
      <c r="E78" s="26">
        <v>0.59281799999999996</v>
      </c>
    </row>
    <row r="79" spans="1:7" ht="12.75" x14ac:dyDescent="0.2">
      <c r="A79" s="23" t="s">
        <v>14</v>
      </c>
      <c r="B79" s="27">
        <v>1.60694</v>
      </c>
      <c r="C79" s="27">
        <v>1.1920999999999999</v>
      </c>
      <c r="D79" s="26">
        <v>0.61592400000000003</v>
      </c>
      <c r="E79" s="26">
        <v>0.53371599999999997</v>
      </c>
    </row>
    <row r="80" spans="1:7" ht="12.75" x14ac:dyDescent="0.2">
      <c r="A80" s="23" t="s">
        <v>15</v>
      </c>
      <c r="B80" s="23"/>
      <c r="C80" s="27">
        <v>1.1494599999999999</v>
      </c>
      <c r="D80" s="26">
        <v>0.57655699999999999</v>
      </c>
      <c r="E80" s="26">
        <v>0.57832099999999997</v>
      </c>
    </row>
    <row r="81" spans="1:12" ht="12.75" x14ac:dyDescent="0.2">
      <c r="I81" s="35" t="s">
        <v>227</v>
      </c>
      <c r="J81" s="35"/>
      <c r="K81" s="35"/>
    </row>
    <row r="82" spans="1:12" ht="12.75" x14ac:dyDescent="0.2">
      <c r="A82" s="23" t="s">
        <v>59</v>
      </c>
      <c r="B82" s="24">
        <v>1</v>
      </c>
      <c r="C82" s="24">
        <v>2</v>
      </c>
      <c r="D82" s="24">
        <v>3</v>
      </c>
      <c r="E82" s="24">
        <v>4</v>
      </c>
      <c r="F82" s="1"/>
      <c r="G82" s="1"/>
      <c r="I82" s="23" t="s">
        <v>219</v>
      </c>
      <c r="J82" s="23" t="s">
        <v>220</v>
      </c>
      <c r="K82" s="23" t="s">
        <v>221</v>
      </c>
      <c r="L82" s="23" t="s">
        <v>218</v>
      </c>
    </row>
    <row r="83" spans="1:12" ht="12.75" x14ac:dyDescent="0.2">
      <c r="A83" s="23" t="s">
        <v>8</v>
      </c>
      <c r="B83" s="25">
        <v>9.5382599999999998E-2</v>
      </c>
      <c r="C83" s="26">
        <v>0.13245299999999999</v>
      </c>
      <c r="D83" s="27">
        <v>4.7596600000000002</v>
      </c>
      <c r="E83" s="27">
        <v>4.9816900000000004</v>
      </c>
      <c r="F83" s="7"/>
      <c r="I83" s="23">
        <v>50</v>
      </c>
      <c r="J83" s="23">
        <v>9.5087600000000005</v>
      </c>
      <c r="K83" s="23">
        <f>I83*J83</f>
        <v>475.43800000000005</v>
      </c>
      <c r="L83" s="23">
        <f>(K83/487.0675)*100</f>
        <v>97.612343258377948</v>
      </c>
    </row>
    <row r="84" spans="1:12" ht="12.75" x14ac:dyDescent="0.2">
      <c r="A84" s="23" t="s">
        <v>9</v>
      </c>
      <c r="B84" s="26">
        <v>0.13725599999999999</v>
      </c>
      <c r="C84" s="26">
        <v>0.212252</v>
      </c>
      <c r="D84" s="27">
        <v>2.3570199999999999</v>
      </c>
      <c r="E84" s="27">
        <v>1.96824</v>
      </c>
      <c r="F84" s="7"/>
      <c r="I84" s="23">
        <v>100</v>
      </c>
      <c r="J84" s="23">
        <v>4.8706750000000003</v>
      </c>
      <c r="K84" s="23">
        <f t="shared" ref="K84:K86" si="0">I84*J84</f>
        <v>487.06750000000005</v>
      </c>
      <c r="L84" s="23">
        <f t="shared" ref="L84:L87" si="1">(K84/487.0675)*100</f>
        <v>100.00000000000003</v>
      </c>
    </row>
    <row r="85" spans="1:12" ht="12.75" x14ac:dyDescent="0.2">
      <c r="A85" s="23" t="s">
        <v>10</v>
      </c>
      <c r="B85" s="26">
        <v>0.44878200000000001</v>
      </c>
      <c r="C85" s="26">
        <v>0.41504799999999997</v>
      </c>
      <c r="D85" s="27">
        <v>1.0323800000000001</v>
      </c>
      <c r="E85" s="26">
        <v>0.91349499999999995</v>
      </c>
      <c r="F85" s="7"/>
      <c r="I85" s="23">
        <v>200</v>
      </c>
      <c r="J85" s="23">
        <v>2.1626300000000001</v>
      </c>
      <c r="K85" s="23">
        <f t="shared" si="0"/>
        <v>432.52600000000001</v>
      </c>
      <c r="L85" s="23">
        <f t="shared" si="1"/>
        <v>88.802065422143755</v>
      </c>
    </row>
    <row r="86" spans="1:12" ht="12.75" x14ac:dyDescent="0.2">
      <c r="A86" s="23" t="s">
        <v>11</v>
      </c>
      <c r="B86" s="27">
        <v>1.11056</v>
      </c>
      <c r="C86" s="27">
        <v>1.40499</v>
      </c>
      <c r="D86" s="26">
        <v>0.67513999999999996</v>
      </c>
      <c r="E86" s="26">
        <v>0.50818200000000002</v>
      </c>
      <c r="F86" s="7"/>
      <c r="I86" s="23">
        <v>400</v>
      </c>
      <c r="J86" s="23">
        <v>0.97293750000000001</v>
      </c>
      <c r="K86" s="23">
        <f t="shared" si="0"/>
        <v>389.17500000000001</v>
      </c>
      <c r="L86" s="23">
        <f t="shared" si="1"/>
        <v>79.901656341266872</v>
      </c>
    </row>
    <row r="87" spans="1:12" ht="12.75" x14ac:dyDescent="0.2">
      <c r="A87" s="23" t="s">
        <v>12</v>
      </c>
      <c r="B87" s="27">
        <v>2.7406899999999998</v>
      </c>
      <c r="C87" s="27">
        <v>2.7303600000000001</v>
      </c>
      <c r="D87" s="27">
        <v>7.6660199999999996</v>
      </c>
      <c r="E87" s="27">
        <v>7.3878399999999997</v>
      </c>
      <c r="F87" s="7"/>
      <c r="I87" s="23">
        <v>800</v>
      </c>
      <c r="J87" s="23">
        <v>0.59166099999999999</v>
      </c>
      <c r="K87" s="23">
        <f>I87*J87</f>
        <v>473.3288</v>
      </c>
      <c r="L87" s="23">
        <f t="shared" si="1"/>
        <v>97.17930266338854</v>
      </c>
    </row>
    <row r="88" spans="1:12" ht="12.75" x14ac:dyDescent="0.2">
      <c r="A88" s="23" t="s">
        <v>13</v>
      </c>
      <c r="B88" s="27">
        <v>5.3632</v>
      </c>
      <c r="C88" s="27">
        <v>5.7609000000000004</v>
      </c>
      <c r="D88" s="27">
        <v>5.6274899999999999</v>
      </c>
      <c r="E88" s="27">
        <v>5.2600699999999998</v>
      </c>
      <c r="F88" s="7"/>
      <c r="L88" s="30"/>
    </row>
    <row r="89" spans="1:12" ht="12.75" x14ac:dyDescent="0.2">
      <c r="A89" s="23" t="s">
        <v>14</v>
      </c>
      <c r="B89" s="28">
        <v>12.521000000000001</v>
      </c>
      <c r="C89" s="27">
        <v>9.6592800000000008</v>
      </c>
      <c r="D89" s="27">
        <v>5.4381899999999996</v>
      </c>
      <c r="E89" s="27">
        <v>4.8001500000000004</v>
      </c>
    </row>
    <row r="90" spans="1:12" ht="12.75" x14ac:dyDescent="0.2">
      <c r="A90" s="23" t="s">
        <v>15</v>
      </c>
      <c r="B90" s="23"/>
      <c r="C90" s="27">
        <v>9.3582400000000003</v>
      </c>
      <c r="D90" s="27">
        <v>5.1341599999999996</v>
      </c>
      <c r="E90" s="27">
        <v>5.1478400000000004</v>
      </c>
    </row>
    <row r="91" spans="1:12" ht="12.75" x14ac:dyDescent="0.2"/>
    <row r="92" spans="1:12" ht="12.75" x14ac:dyDescent="0.2">
      <c r="A92" s="23" t="s">
        <v>16</v>
      </c>
      <c r="B92" s="24">
        <v>1</v>
      </c>
      <c r="C92" s="24">
        <v>2</v>
      </c>
      <c r="D92" s="24">
        <v>3</v>
      </c>
      <c r="E92" s="24">
        <v>4</v>
      </c>
      <c r="F92" s="1"/>
      <c r="G92" s="1"/>
      <c r="I92" s="34"/>
      <c r="J92" s="32"/>
    </row>
    <row r="93" spans="1:12" ht="12.75" x14ac:dyDescent="0.2">
      <c r="A93" s="23" t="s">
        <v>8</v>
      </c>
      <c r="B93" s="23" t="s">
        <v>196</v>
      </c>
      <c r="C93" s="23" t="s">
        <v>196</v>
      </c>
      <c r="D93" s="23" t="s">
        <v>204</v>
      </c>
      <c r="E93" s="23" t="s">
        <v>204</v>
      </c>
      <c r="I93" s="35" t="s">
        <v>226</v>
      </c>
      <c r="J93" s="35"/>
    </row>
    <row r="94" spans="1:12" ht="12.75" x14ac:dyDescent="0.2">
      <c r="A94" s="23" t="s">
        <v>9</v>
      </c>
      <c r="B94" s="23" t="s">
        <v>197</v>
      </c>
      <c r="C94" s="23" t="s">
        <v>197</v>
      </c>
      <c r="D94" s="23" t="s">
        <v>205</v>
      </c>
      <c r="E94" s="23" t="s">
        <v>205</v>
      </c>
      <c r="I94" s="23"/>
      <c r="J94" s="23" t="s">
        <v>216</v>
      </c>
      <c r="K94" s="23" t="s">
        <v>217</v>
      </c>
      <c r="L94" s="23" t="s">
        <v>218</v>
      </c>
    </row>
    <row r="95" spans="1:12" ht="12.75" x14ac:dyDescent="0.2">
      <c r="A95" s="23" t="s">
        <v>10</v>
      </c>
      <c r="B95" s="23" t="s">
        <v>198</v>
      </c>
      <c r="C95" s="23" t="s">
        <v>198</v>
      </c>
      <c r="D95" s="23" t="s">
        <v>207</v>
      </c>
      <c r="E95" s="23" t="s">
        <v>207</v>
      </c>
      <c r="I95" s="23" t="s">
        <v>212</v>
      </c>
      <c r="J95" s="23">
        <v>6.7779999999999996</v>
      </c>
      <c r="K95" s="23">
        <v>7.5259999999999998</v>
      </c>
      <c r="L95" s="23">
        <f>(K95/J95)*100</f>
        <v>111.03570374741811</v>
      </c>
    </row>
    <row r="96" spans="1:12" ht="12.75" x14ac:dyDescent="0.2">
      <c r="A96" s="23" t="s">
        <v>11</v>
      </c>
      <c r="B96" s="23" t="s">
        <v>199</v>
      </c>
      <c r="C96" s="23" t="s">
        <v>199</v>
      </c>
      <c r="D96" s="23" t="s">
        <v>206</v>
      </c>
      <c r="E96" s="23" t="s">
        <v>206</v>
      </c>
      <c r="I96" s="23" t="s">
        <v>213</v>
      </c>
      <c r="J96" s="23">
        <v>5.82</v>
      </c>
      <c r="K96" s="23">
        <v>5.44</v>
      </c>
      <c r="L96" s="23">
        <f t="shared" ref="L96:L98" si="2">(K96/J96)*100</f>
        <v>93.470790378006868</v>
      </c>
    </row>
    <row r="97" spans="1:17" ht="12.75" x14ac:dyDescent="0.2">
      <c r="A97" s="23" t="s">
        <v>12</v>
      </c>
      <c r="B97" s="23" t="s">
        <v>200</v>
      </c>
      <c r="C97" s="23" t="s">
        <v>200</v>
      </c>
      <c r="D97" s="23" t="s">
        <v>208</v>
      </c>
      <c r="E97" s="23" t="s">
        <v>208</v>
      </c>
      <c r="I97" s="23" t="s">
        <v>214</v>
      </c>
      <c r="J97" s="23">
        <v>5.34</v>
      </c>
      <c r="K97" s="23">
        <v>5.21</v>
      </c>
      <c r="L97" s="23">
        <f t="shared" si="2"/>
        <v>97.565543071161059</v>
      </c>
    </row>
    <row r="98" spans="1:17" ht="12.75" x14ac:dyDescent="0.2">
      <c r="A98" s="23" t="s">
        <v>13</v>
      </c>
      <c r="B98" s="23" t="s">
        <v>201</v>
      </c>
      <c r="C98" s="23" t="s">
        <v>201</v>
      </c>
      <c r="D98" s="23" t="s">
        <v>209</v>
      </c>
      <c r="E98" s="23" t="s">
        <v>209</v>
      </c>
      <c r="I98" s="23" t="s">
        <v>215</v>
      </c>
      <c r="J98" s="23">
        <v>5.0999999999999996</v>
      </c>
      <c r="K98" s="23">
        <v>5.14</v>
      </c>
      <c r="L98" s="23">
        <f t="shared" si="2"/>
        <v>100.78431372549019</v>
      </c>
    </row>
    <row r="99" spans="1:17" ht="12.75" x14ac:dyDescent="0.2">
      <c r="A99" s="23" t="s">
        <v>14</v>
      </c>
      <c r="B99" s="23" t="s">
        <v>202</v>
      </c>
      <c r="C99" s="23" t="s">
        <v>203</v>
      </c>
      <c r="D99" s="23" t="s">
        <v>210</v>
      </c>
      <c r="E99" s="23" t="s">
        <v>210</v>
      </c>
    </row>
    <row r="100" spans="1:17" ht="12.75" x14ac:dyDescent="0.2">
      <c r="A100" s="23" t="s">
        <v>15</v>
      </c>
      <c r="B100" s="23" t="s">
        <v>39</v>
      </c>
      <c r="C100" s="23" t="s">
        <v>203</v>
      </c>
      <c r="D100" s="23" t="s">
        <v>211</v>
      </c>
      <c r="E100" s="23" t="s">
        <v>211</v>
      </c>
      <c r="I100" s="37" t="s">
        <v>222</v>
      </c>
      <c r="J100" s="37"/>
      <c r="K100" s="37"/>
      <c r="L100" s="38" t="s">
        <v>225</v>
      </c>
      <c r="M100" s="38"/>
      <c r="N100" s="38"/>
      <c r="O100" s="38"/>
      <c r="P100" s="38"/>
      <c r="Q100" s="38"/>
    </row>
    <row r="101" spans="1:17" ht="28.5" customHeight="1" x14ac:dyDescent="0.2">
      <c r="I101" s="23"/>
      <c r="J101" s="33" t="s">
        <v>223</v>
      </c>
      <c r="K101" s="33" t="s">
        <v>224</v>
      </c>
    </row>
    <row r="102" spans="1:17" ht="12.75" x14ac:dyDescent="0.2">
      <c r="A102" t="s">
        <v>80</v>
      </c>
      <c r="I102" s="23" t="s">
        <v>212</v>
      </c>
      <c r="J102" s="23">
        <v>375</v>
      </c>
      <c r="K102" s="23">
        <v>125</v>
      </c>
    </row>
    <row r="103" spans="1:17" ht="15" customHeight="1" x14ac:dyDescent="0.2">
      <c r="I103" s="23" t="s">
        <v>213</v>
      </c>
      <c r="J103" s="23">
        <v>437.5</v>
      </c>
      <c r="K103" s="23">
        <v>62.5</v>
      </c>
    </row>
    <row r="104" spans="1:17" ht="15" customHeight="1" x14ac:dyDescent="0.2">
      <c r="I104" s="23" t="s">
        <v>214</v>
      </c>
      <c r="J104" s="23">
        <v>468.75</v>
      </c>
      <c r="K104" s="23">
        <v>31.25</v>
      </c>
    </row>
    <row r="105" spans="1:17" ht="15" customHeight="1" x14ac:dyDescent="0.2">
      <c r="I105" s="23" t="s">
        <v>215</v>
      </c>
      <c r="J105" s="23">
        <v>484.4</v>
      </c>
      <c r="K105" s="23">
        <v>15.625</v>
      </c>
    </row>
    <row r="109" spans="1:17" ht="15" customHeight="1" x14ac:dyDescent="0.2">
      <c r="I109" s="36"/>
      <c r="J109" s="36"/>
      <c r="K109" s="36"/>
      <c r="L109" s="36"/>
    </row>
  </sheetData>
  <mergeCells count="5">
    <mergeCell ref="I93:J93"/>
    <mergeCell ref="I81:K81"/>
    <mergeCell ref="I109:L109"/>
    <mergeCell ref="I100:K100"/>
    <mergeCell ref="L100:Q100"/>
  </mergeCells>
  <phoneticPr fontId="1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General information"/>
  <dimension ref="A1:E5"/>
  <sheetViews>
    <sheetView workbookViewId="0"/>
  </sheetViews>
  <sheetFormatPr defaultColWidth="9.140625" defaultRowHeight="15" customHeight="1" x14ac:dyDescent="0.2"/>
  <sheetData>
    <row r="1" spans="1:5" ht="15" customHeight="1" x14ac:dyDescent="0.2">
      <c r="A1" t="s">
        <v>86</v>
      </c>
    </row>
    <row r="3" spans="1:5" ht="15" customHeight="1" x14ac:dyDescent="0.2">
      <c r="B3" t="s">
        <v>87</v>
      </c>
      <c r="E3" t="s">
        <v>88</v>
      </c>
    </row>
    <row r="4" spans="1:5" ht="15" customHeight="1" x14ac:dyDescent="0.2">
      <c r="B4" t="s">
        <v>89</v>
      </c>
      <c r="E4" t="s">
        <v>90</v>
      </c>
    </row>
    <row r="5" spans="1:5" ht="15" customHeight="1" x14ac:dyDescent="0.2">
      <c r="A5" t="s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ession information"/>
  <dimension ref="A1:E7"/>
  <sheetViews>
    <sheetView workbookViewId="0"/>
  </sheetViews>
  <sheetFormatPr defaultColWidth="9.140625" defaultRowHeight="15" customHeight="1" x14ac:dyDescent="0.2"/>
  <cols>
    <col min="1" max="1" width="19.28515625" customWidth="1"/>
    <col min="2" max="2" width="14.85546875" customWidth="1"/>
    <col min="4" max="4" width="2" customWidth="1"/>
    <col min="5" max="5" width="51" customWidth="1"/>
  </cols>
  <sheetData>
    <row r="1" spans="1:5" ht="15" customHeight="1" x14ac:dyDescent="0.2">
      <c r="A1" t="s">
        <v>91</v>
      </c>
    </row>
    <row r="3" spans="1:5" ht="15" customHeight="1" x14ac:dyDescent="0.2">
      <c r="B3" t="s">
        <v>92</v>
      </c>
      <c r="E3" t="s">
        <v>1</v>
      </c>
    </row>
    <row r="4" spans="1:5" ht="15" customHeight="1" x14ac:dyDescent="0.2">
      <c r="B4" t="s">
        <v>93</v>
      </c>
      <c r="E4" t="s">
        <v>94</v>
      </c>
    </row>
    <row r="5" spans="1:5" ht="15" customHeight="1" x14ac:dyDescent="0.2">
      <c r="B5" t="s">
        <v>95</v>
      </c>
      <c r="E5" t="s">
        <v>96</v>
      </c>
    </row>
    <row r="6" spans="1:5" ht="15" customHeight="1" x14ac:dyDescent="0.2">
      <c r="B6" t="s">
        <v>97</v>
      </c>
      <c r="E6" t="s">
        <v>2</v>
      </c>
    </row>
    <row r="7" spans="1:5" ht="15" customHeight="1" x14ac:dyDescent="0.2">
      <c r="A7" t="s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Instrument information"/>
  <dimension ref="A1:E93"/>
  <sheetViews>
    <sheetView topLeftCell="A12" workbookViewId="0"/>
  </sheetViews>
  <sheetFormatPr defaultColWidth="9.140625" defaultRowHeight="15" customHeight="1" x14ac:dyDescent="0.2"/>
  <cols>
    <col min="1" max="1" width="21.5703125" customWidth="1"/>
    <col min="2" max="2" width="19.28515625" customWidth="1"/>
    <col min="3" max="3" width="29" customWidth="1"/>
    <col min="4" max="4" width="2" customWidth="1"/>
    <col min="5" max="5" width="23.7109375" customWidth="1"/>
  </cols>
  <sheetData>
    <row r="1" spans="1:5" ht="15" customHeight="1" x14ac:dyDescent="0.2">
      <c r="A1" t="s">
        <v>98</v>
      </c>
    </row>
    <row r="3" spans="1:5" ht="15" customHeight="1" x14ac:dyDescent="0.2">
      <c r="B3" t="s">
        <v>99</v>
      </c>
      <c r="E3" t="s">
        <v>100</v>
      </c>
    </row>
    <row r="4" spans="1:5" ht="15" customHeight="1" x14ac:dyDescent="0.2">
      <c r="B4" t="s">
        <v>101</v>
      </c>
      <c r="E4" t="s">
        <v>102</v>
      </c>
    </row>
    <row r="5" spans="1:5" ht="15" customHeight="1" x14ac:dyDescent="0.2">
      <c r="B5" t="s">
        <v>103</v>
      </c>
      <c r="E5" t="s">
        <v>104</v>
      </c>
    </row>
    <row r="7" spans="1:5" ht="15" customHeight="1" x14ac:dyDescent="0.2">
      <c r="B7" t="s">
        <v>105</v>
      </c>
    </row>
    <row r="9" spans="1:5" ht="15" customHeight="1" x14ac:dyDescent="0.2">
      <c r="B9" t="s">
        <v>106</v>
      </c>
    </row>
    <row r="10" spans="1:5" ht="15" customHeight="1" x14ac:dyDescent="0.2">
      <c r="C10" t="s">
        <v>107</v>
      </c>
      <c r="E10" t="s">
        <v>108</v>
      </c>
    </row>
    <row r="11" spans="1:5" ht="15" customHeight="1" x14ac:dyDescent="0.2">
      <c r="C11" t="s">
        <v>99</v>
      </c>
      <c r="E11" t="s">
        <v>109</v>
      </c>
    </row>
    <row r="12" spans="1:5" ht="15" customHeight="1" x14ac:dyDescent="0.2">
      <c r="C12" t="s">
        <v>110</v>
      </c>
      <c r="E12" t="s">
        <v>111</v>
      </c>
    </row>
    <row r="13" spans="1:5" ht="15" customHeight="1" x14ac:dyDescent="0.2">
      <c r="C13" t="s">
        <v>112</v>
      </c>
      <c r="E13" t="s">
        <v>113</v>
      </c>
    </row>
    <row r="14" spans="1:5" ht="15" customHeight="1" x14ac:dyDescent="0.2">
      <c r="C14" t="s">
        <v>114</v>
      </c>
      <c r="E14" t="s">
        <v>115</v>
      </c>
    </row>
    <row r="15" spans="1:5" ht="15" customHeight="1" x14ac:dyDescent="0.2">
      <c r="C15" t="s">
        <v>116</v>
      </c>
      <c r="E15" t="s">
        <v>117</v>
      </c>
    </row>
    <row r="17" spans="2:5" ht="15" customHeight="1" x14ac:dyDescent="0.2">
      <c r="B17" t="s">
        <v>106</v>
      </c>
    </row>
    <row r="18" spans="2:5" ht="15" customHeight="1" x14ac:dyDescent="0.2">
      <c r="C18" t="s">
        <v>107</v>
      </c>
      <c r="E18" t="s">
        <v>118</v>
      </c>
    </row>
    <row r="19" spans="2:5" ht="15" customHeight="1" x14ac:dyDescent="0.2">
      <c r="C19" t="s">
        <v>99</v>
      </c>
      <c r="E19" t="s">
        <v>119</v>
      </c>
    </row>
    <row r="20" spans="2:5" ht="15" customHeight="1" x14ac:dyDescent="0.2">
      <c r="C20" t="s">
        <v>110</v>
      </c>
      <c r="E20" t="s">
        <v>120</v>
      </c>
    </row>
    <row r="21" spans="2:5" ht="15" customHeight="1" x14ac:dyDescent="0.2">
      <c r="C21" t="s">
        <v>112</v>
      </c>
      <c r="E21" t="s">
        <v>121</v>
      </c>
    </row>
    <row r="22" spans="2:5" ht="15" customHeight="1" x14ac:dyDescent="0.2">
      <c r="C22" t="s">
        <v>114</v>
      </c>
      <c r="E22" t="s">
        <v>115</v>
      </c>
    </row>
    <row r="23" spans="2:5" ht="15" customHeight="1" x14ac:dyDescent="0.2">
      <c r="C23" t="s">
        <v>116</v>
      </c>
      <c r="E23" t="s">
        <v>117</v>
      </c>
    </row>
    <row r="25" spans="2:5" ht="15" customHeight="1" x14ac:dyDescent="0.2">
      <c r="B25" t="s">
        <v>106</v>
      </c>
    </row>
    <row r="26" spans="2:5" ht="15" customHeight="1" x14ac:dyDescent="0.2">
      <c r="C26" t="s">
        <v>107</v>
      </c>
      <c r="E26" t="s">
        <v>122</v>
      </c>
    </row>
    <row r="27" spans="2:5" ht="15" customHeight="1" x14ac:dyDescent="0.2">
      <c r="C27" t="s">
        <v>99</v>
      </c>
      <c r="E27" t="s">
        <v>123</v>
      </c>
    </row>
    <row r="28" spans="2:5" ht="15" customHeight="1" x14ac:dyDescent="0.2">
      <c r="C28" t="s">
        <v>110</v>
      </c>
      <c r="E28" t="s">
        <v>124</v>
      </c>
    </row>
    <row r="29" spans="2:5" ht="15" customHeight="1" x14ac:dyDescent="0.2">
      <c r="C29" t="s">
        <v>112</v>
      </c>
      <c r="E29" t="s">
        <v>121</v>
      </c>
    </row>
    <row r="30" spans="2:5" ht="15" customHeight="1" x14ac:dyDescent="0.2">
      <c r="C30" t="s">
        <v>114</v>
      </c>
      <c r="E30" t="s">
        <v>115</v>
      </c>
    </row>
    <row r="31" spans="2:5" ht="15" customHeight="1" x14ac:dyDescent="0.2">
      <c r="C31" t="s">
        <v>116</v>
      </c>
      <c r="E31" t="s">
        <v>117</v>
      </c>
    </row>
    <row r="33" spans="2:5" ht="15" customHeight="1" x14ac:dyDescent="0.2">
      <c r="B33" t="s">
        <v>125</v>
      </c>
    </row>
    <row r="34" spans="2:5" ht="15" customHeight="1" x14ac:dyDescent="0.2">
      <c r="C34" t="s">
        <v>126</v>
      </c>
      <c r="E34" t="s">
        <v>127</v>
      </c>
    </row>
    <row r="35" spans="2:5" ht="15" customHeight="1" x14ac:dyDescent="0.2">
      <c r="C35" t="s">
        <v>99</v>
      </c>
      <c r="E35" t="s">
        <v>128</v>
      </c>
    </row>
    <row r="36" spans="2:5" ht="15" customHeight="1" x14ac:dyDescent="0.2">
      <c r="C36" t="s">
        <v>129</v>
      </c>
      <c r="E36" t="s">
        <v>130</v>
      </c>
    </row>
    <row r="37" spans="2:5" ht="15" customHeight="1" x14ac:dyDescent="0.2">
      <c r="C37" t="s">
        <v>112</v>
      </c>
      <c r="E37" t="s">
        <v>131</v>
      </c>
    </row>
    <row r="38" spans="2:5" ht="15" customHeight="1" x14ac:dyDescent="0.2">
      <c r="C38" t="s">
        <v>114</v>
      </c>
      <c r="E38" t="s">
        <v>115</v>
      </c>
    </row>
    <row r="39" spans="2:5" ht="12.75" x14ac:dyDescent="0.2">
      <c r="C39" t="s">
        <v>116</v>
      </c>
      <c r="E39" t="s">
        <v>117</v>
      </c>
    </row>
    <row r="40" spans="2:5" ht="12.75" x14ac:dyDescent="0.2"/>
    <row r="41" spans="2:5" ht="12.75" x14ac:dyDescent="0.2">
      <c r="B41" t="s">
        <v>125</v>
      </c>
    </row>
    <row r="42" spans="2:5" ht="12.75" x14ac:dyDescent="0.2">
      <c r="C42" t="s">
        <v>126</v>
      </c>
      <c r="E42" t="s">
        <v>132</v>
      </c>
    </row>
    <row r="43" spans="2:5" ht="12.75" x14ac:dyDescent="0.2">
      <c r="C43" t="s">
        <v>99</v>
      </c>
      <c r="E43" t="s">
        <v>133</v>
      </c>
    </row>
    <row r="44" spans="2:5" ht="12.75" x14ac:dyDescent="0.2">
      <c r="C44" t="s">
        <v>129</v>
      </c>
      <c r="E44" t="s">
        <v>134</v>
      </c>
    </row>
    <row r="45" spans="2:5" ht="12.75" x14ac:dyDescent="0.2">
      <c r="C45" t="s">
        <v>112</v>
      </c>
      <c r="E45" t="s">
        <v>121</v>
      </c>
    </row>
    <row r="46" spans="2:5" ht="12.75" x14ac:dyDescent="0.2">
      <c r="C46" t="s">
        <v>114</v>
      </c>
      <c r="E46" t="s">
        <v>115</v>
      </c>
    </row>
    <row r="47" spans="2:5" ht="12.75" x14ac:dyDescent="0.2">
      <c r="C47" t="s">
        <v>116</v>
      </c>
      <c r="E47" t="s">
        <v>117</v>
      </c>
    </row>
    <row r="48" spans="2:5" ht="12.75" x14ac:dyDescent="0.2"/>
    <row r="49" spans="2:5" ht="12.75" x14ac:dyDescent="0.2">
      <c r="B49" t="s">
        <v>125</v>
      </c>
    </row>
    <row r="50" spans="2:5" ht="12.75" x14ac:dyDescent="0.2">
      <c r="C50" t="s">
        <v>126</v>
      </c>
      <c r="E50" t="s">
        <v>135</v>
      </c>
    </row>
    <row r="51" spans="2:5" ht="12.75" x14ac:dyDescent="0.2">
      <c r="C51" t="s">
        <v>99</v>
      </c>
      <c r="E51" t="s">
        <v>136</v>
      </c>
    </row>
    <row r="52" spans="2:5" ht="12.75" x14ac:dyDescent="0.2">
      <c r="C52" t="s">
        <v>129</v>
      </c>
      <c r="E52" t="s">
        <v>137</v>
      </c>
    </row>
    <row r="53" spans="2:5" ht="12.75" x14ac:dyDescent="0.2">
      <c r="C53" t="s">
        <v>112</v>
      </c>
      <c r="E53" t="s">
        <v>138</v>
      </c>
    </row>
    <row r="54" spans="2:5" ht="12.75" x14ac:dyDescent="0.2">
      <c r="C54" t="s">
        <v>114</v>
      </c>
      <c r="E54" t="s">
        <v>115</v>
      </c>
    </row>
    <row r="55" spans="2:5" ht="12.75" x14ac:dyDescent="0.2">
      <c r="C55" t="s">
        <v>116</v>
      </c>
      <c r="E55" t="s">
        <v>117</v>
      </c>
    </row>
    <row r="56" spans="2:5" ht="12.75" x14ac:dyDescent="0.2"/>
    <row r="57" spans="2:5" ht="12.75" x14ac:dyDescent="0.2">
      <c r="B57" t="s">
        <v>139</v>
      </c>
    </row>
    <row r="58" spans="2:5" ht="12.75" x14ac:dyDescent="0.2">
      <c r="C58" t="s">
        <v>99</v>
      </c>
      <c r="E58" t="s">
        <v>140</v>
      </c>
    </row>
    <row r="59" spans="2:5" ht="12.75" x14ac:dyDescent="0.2">
      <c r="C59" t="s">
        <v>107</v>
      </c>
      <c r="E59" t="s">
        <v>108</v>
      </c>
    </row>
    <row r="60" spans="2:5" ht="12.75" x14ac:dyDescent="0.2">
      <c r="C60" t="s">
        <v>99</v>
      </c>
      <c r="E60" t="s">
        <v>109</v>
      </c>
    </row>
    <row r="61" spans="2:5" ht="12.75" x14ac:dyDescent="0.2">
      <c r="C61" t="s">
        <v>110</v>
      </c>
      <c r="E61" t="s">
        <v>111</v>
      </c>
    </row>
    <row r="62" spans="2:5" ht="12.75" x14ac:dyDescent="0.2">
      <c r="C62" t="s">
        <v>126</v>
      </c>
      <c r="E62" t="s">
        <v>127</v>
      </c>
    </row>
    <row r="63" spans="2:5" ht="12.75" x14ac:dyDescent="0.2">
      <c r="C63" t="s">
        <v>99</v>
      </c>
      <c r="E63" t="s">
        <v>128</v>
      </c>
    </row>
    <row r="64" spans="2:5" ht="12.75" x14ac:dyDescent="0.2">
      <c r="C64" t="s">
        <v>129</v>
      </c>
      <c r="E64" t="s">
        <v>130</v>
      </c>
    </row>
    <row r="65" spans="2:5" ht="12.75" x14ac:dyDescent="0.2">
      <c r="C65" t="s">
        <v>114</v>
      </c>
      <c r="E65" t="s">
        <v>115</v>
      </c>
    </row>
    <row r="66" spans="2:5" ht="12.75" x14ac:dyDescent="0.2">
      <c r="C66" t="s">
        <v>141</v>
      </c>
      <c r="E66" t="s">
        <v>142</v>
      </c>
    </row>
    <row r="67" spans="2:5" ht="12.75" x14ac:dyDescent="0.2"/>
    <row r="68" spans="2:5" ht="12.75" x14ac:dyDescent="0.2">
      <c r="B68" t="s">
        <v>139</v>
      </c>
    </row>
    <row r="69" spans="2:5" ht="12.75" x14ac:dyDescent="0.2">
      <c r="C69" t="s">
        <v>99</v>
      </c>
      <c r="E69" t="s">
        <v>143</v>
      </c>
    </row>
    <row r="70" spans="2:5" ht="12.75" x14ac:dyDescent="0.2">
      <c r="C70" t="s">
        <v>107</v>
      </c>
      <c r="E70" t="s">
        <v>118</v>
      </c>
    </row>
    <row r="71" spans="2:5" ht="12.75" x14ac:dyDescent="0.2">
      <c r="C71" t="s">
        <v>99</v>
      </c>
      <c r="E71" t="s">
        <v>119</v>
      </c>
    </row>
    <row r="72" spans="2:5" ht="12.75" x14ac:dyDescent="0.2">
      <c r="C72" t="s">
        <v>110</v>
      </c>
      <c r="E72" t="s">
        <v>120</v>
      </c>
    </row>
    <row r="73" spans="2:5" ht="12.75" x14ac:dyDescent="0.2">
      <c r="C73" t="s">
        <v>126</v>
      </c>
      <c r="E73" t="s">
        <v>132</v>
      </c>
    </row>
    <row r="74" spans="2:5" ht="12.75" x14ac:dyDescent="0.2">
      <c r="C74" t="s">
        <v>99</v>
      </c>
      <c r="E74" t="s">
        <v>133</v>
      </c>
    </row>
    <row r="75" spans="2:5" ht="12.75" x14ac:dyDescent="0.2">
      <c r="C75" t="s">
        <v>129</v>
      </c>
      <c r="E75" t="s">
        <v>134</v>
      </c>
    </row>
    <row r="76" spans="2:5" ht="12.75" x14ac:dyDescent="0.2">
      <c r="C76" t="s">
        <v>114</v>
      </c>
      <c r="E76" t="s">
        <v>115</v>
      </c>
    </row>
    <row r="77" spans="2:5" ht="12.75" x14ac:dyDescent="0.2">
      <c r="C77" t="s">
        <v>141</v>
      </c>
      <c r="E77" t="s">
        <v>142</v>
      </c>
    </row>
    <row r="78" spans="2:5" ht="12.75" x14ac:dyDescent="0.2"/>
    <row r="79" spans="2:5" ht="12.75" x14ac:dyDescent="0.2">
      <c r="B79" t="s">
        <v>139</v>
      </c>
    </row>
    <row r="80" spans="2:5" ht="12.75" x14ac:dyDescent="0.2">
      <c r="C80" t="s">
        <v>99</v>
      </c>
      <c r="E80" t="s">
        <v>144</v>
      </c>
    </row>
    <row r="81" spans="3:5" ht="12.75" x14ac:dyDescent="0.2">
      <c r="C81" t="s">
        <v>107</v>
      </c>
      <c r="E81" t="s">
        <v>122</v>
      </c>
    </row>
    <row r="82" spans="3:5" ht="12.75" x14ac:dyDescent="0.2">
      <c r="C82" t="s">
        <v>99</v>
      </c>
      <c r="E82" t="s">
        <v>123</v>
      </c>
    </row>
    <row r="83" spans="3:5" ht="12.75" x14ac:dyDescent="0.2">
      <c r="C83" t="s">
        <v>110</v>
      </c>
      <c r="E83" t="s">
        <v>124</v>
      </c>
    </row>
    <row r="84" spans="3:5" ht="12.75" x14ac:dyDescent="0.2">
      <c r="C84" t="s">
        <v>126</v>
      </c>
      <c r="E84" t="s">
        <v>135</v>
      </c>
    </row>
    <row r="85" spans="3:5" ht="12.75" x14ac:dyDescent="0.2">
      <c r="C85" t="s">
        <v>99</v>
      </c>
      <c r="E85" t="s">
        <v>136</v>
      </c>
    </row>
    <row r="86" spans="3:5" ht="12.75" x14ac:dyDescent="0.2">
      <c r="C86" t="s">
        <v>129</v>
      </c>
      <c r="E86" t="s">
        <v>137</v>
      </c>
    </row>
    <row r="87" spans="3:5" ht="12.75" x14ac:dyDescent="0.2">
      <c r="C87" t="s">
        <v>114</v>
      </c>
      <c r="E87" t="s">
        <v>115</v>
      </c>
    </row>
    <row r="88" spans="3:5" ht="12.75" x14ac:dyDescent="0.2">
      <c r="C88" t="s">
        <v>141</v>
      </c>
      <c r="E88" t="s">
        <v>142</v>
      </c>
    </row>
    <row r="89" spans="3:5" ht="12.75" x14ac:dyDescent="0.2"/>
    <row r="90" spans="3:5" ht="12.75" x14ac:dyDescent="0.2">
      <c r="C90" t="s">
        <v>145</v>
      </c>
      <c r="E90" t="s">
        <v>115</v>
      </c>
    </row>
    <row r="91" spans="3:5" ht="12.75" x14ac:dyDescent="0.2">
      <c r="C91" t="s">
        <v>146</v>
      </c>
      <c r="E91" t="s">
        <v>147</v>
      </c>
    </row>
    <row r="92" spans="3:5" ht="12.75" x14ac:dyDescent="0.2">
      <c r="C92" t="s">
        <v>148</v>
      </c>
      <c r="E92" t="s">
        <v>115</v>
      </c>
    </row>
    <row r="93" spans="3:5" ht="12.75" x14ac:dyDescent="0.2">
      <c r="C93" t="s">
        <v>149</v>
      </c>
      <c r="E93" t="s">
        <v>115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rotocol parameters"/>
  <dimension ref="A1:E19"/>
  <sheetViews>
    <sheetView workbookViewId="0"/>
  </sheetViews>
  <sheetFormatPr defaultColWidth="9.140625" defaultRowHeight="15" customHeight="1" x14ac:dyDescent="0.2"/>
  <cols>
    <col min="1" max="1" width="19.7109375" customWidth="1"/>
    <col min="2" max="2" width="29.140625" customWidth="1"/>
    <col min="4" max="4" width="2" customWidth="1"/>
    <col min="5" max="5" width="12" customWidth="1"/>
  </cols>
  <sheetData>
    <row r="1" spans="1:5" ht="15" customHeight="1" x14ac:dyDescent="0.2">
      <c r="A1" t="s">
        <v>150</v>
      </c>
    </row>
    <row r="3" spans="1:5" ht="15" customHeight="1" x14ac:dyDescent="0.2">
      <c r="B3" t="s">
        <v>151</v>
      </c>
      <c r="E3" t="s">
        <v>142</v>
      </c>
    </row>
    <row r="4" spans="1:5" ht="15" customHeight="1" x14ac:dyDescent="0.2">
      <c r="B4" t="s">
        <v>152</v>
      </c>
      <c r="E4" t="s">
        <v>147</v>
      </c>
    </row>
    <row r="5" spans="1:5" ht="15" customHeight="1" x14ac:dyDescent="0.2">
      <c r="B5" t="s">
        <v>153</v>
      </c>
      <c r="E5" t="s">
        <v>147</v>
      </c>
    </row>
    <row r="7" spans="1:5" ht="15" customHeight="1" x14ac:dyDescent="0.2">
      <c r="A7" t="s">
        <v>154</v>
      </c>
    </row>
    <row r="9" spans="1:5" ht="15" customHeight="1" x14ac:dyDescent="0.2">
      <c r="B9" t="s">
        <v>155</v>
      </c>
      <c r="E9" t="s">
        <v>156</v>
      </c>
    </row>
    <row r="10" spans="1:5" ht="15" customHeight="1" x14ac:dyDescent="0.2">
      <c r="B10" t="s">
        <v>157</v>
      </c>
      <c r="E10" t="s">
        <v>158</v>
      </c>
    </row>
    <row r="11" spans="1:5" ht="15" customHeight="1" x14ac:dyDescent="0.2">
      <c r="B11" t="s">
        <v>159</v>
      </c>
      <c r="E11" t="s">
        <v>160</v>
      </c>
    </row>
    <row r="12" spans="1:5" ht="15" customHeight="1" x14ac:dyDescent="0.2">
      <c r="B12" t="s">
        <v>161</v>
      </c>
      <c r="E12" t="s">
        <v>162</v>
      </c>
    </row>
    <row r="14" spans="1:5" ht="15" customHeight="1" x14ac:dyDescent="0.2">
      <c r="A14" t="s">
        <v>4</v>
      </c>
    </row>
    <row r="16" spans="1:5" ht="15" customHeight="1" x14ac:dyDescent="0.2">
      <c r="B16" t="s">
        <v>163</v>
      </c>
      <c r="E16" t="s">
        <v>130</v>
      </c>
    </row>
    <row r="17" spans="2:5" ht="15" customHeight="1" x14ac:dyDescent="0.2">
      <c r="B17" t="s">
        <v>164</v>
      </c>
      <c r="E17" t="s">
        <v>147</v>
      </c>
    </row>
    <row r="18" spans="2:5" ht="15" customHeight="1" x14ac:dyDescent="0.2">
      <c r="B18" t="s">
        <v>165</v>
      </c>
      <c r="E18" t="s">
        <v>166</v>
      </c>
    </row>
    <row r="19" spans="2:5" ht="15" customHeight="1" x14ac:dyDescent="0.2">
      <c r="B19" t="s">
        <v>167</v>
      </c>
      <c r="E19" t="s">
        <v>147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Run log"/>
  <dimension ref="A1:E13"/>
  <sheetViews>
    <sheetView workbookViewId="0"/>
  </sheetViews>
  <sheetFormatPr defaultColWidth="9.140625" defaultRowHeight="15" customHeight="1" x14ac:dyDescent="0.2"/>
  <cols>
    <col min="1" max="1" width="8.7109375" customWidth="1"/>
    <col min="2" max="2" width="26.42578125" customWidth="1"/>
    <col min="3" max="3" width="54.28515625" customWidth="1"/>
    <col min="4" max="4" width="11.85546875" customWidth="1"/>
  </cols>
  <sheetData>
    <row r="1" spans="1:5" ht="15" customHeight="1" x14ac:dyDescent="0.2">
      <c r="A1" t="s">
        <v>168</v>
      </c>
    </row>
    <row r="3" spans="1:5" ht="15" customHeight="1" x14ac:dyDescent="0.2">
      <c r="B3" s="12" t="s">
        <v>169</v>
      </c>
      <c r="C3" s="12" t="s">
        <v>170</v>
      </c>
      <c r="D3" s="12" t="s">
        <v>171</v>
      </c>
      <c r="E3" s="12"/>
    </row>
    <row r="4" spans="1:5" ht="15" customHeight="1" x14ac:dyDescent="0.2">
      <c r="B4" t="s">
        <v>2</v>
      </c>
      <c r="C4" t="s">
        <v>172</v>
      </c>
    </row>
    <row r="5" spans="1:5" ht="15" customHeight="1" x14ac:dyDescent="0.2">
      <c r="B5" t="s">
        <v>2</v>
      </c>
      <c r="C5" t="s">
        <v>173</v>
      </c>
      <c r="D5" t="s">
        <v>174</v>
      </c>
    </row>
    <row r="6" spans="1:5" ht="15" customHeight="1" x14ac:dyDescent="0.2">
      <c r="B6" t="s">
        <v>175</v>
      </c>
      <c r="C6" t="s">
        <v>176</v>
      </c>
    </row>
    <row r="7" spans="1:5" ht="15" customHeight="1" x14ac:dyDescent="0.2">
      <c r="B7" t="s">
        <v>177</v>
      </c>
      <c r="C7" t="s">
        <v>173</v>
      </c>
      <c r="D7" t="s">
        <v>174</v>
      </c>
    </row>
    <row r="8" spans="1:5" ht="15" customHeight="1" x14ac:dyDescent="0.2">
      <c r="B8" t="s">
        <v>178</v>
      </c>
      <c r="C8" t="s">
        <v>179</v>
      </c>
    </row>
    <row r="9" spans="1:5" ht="15" customHeight="1" x14ac:dyDescent="0.2">
      <c r="B9" t="s">
        <v>178</v>
      </c>
      <c r="C9" t="s">
        <v>180</v>
      </c>
    </row>
    <row r="10" spans="1:5" ht="15" customHeight="1" x14ac:dyDescent="0.2">
      <c r="B10" t="s">
        <v>181</v>
      </c>
      <c r="C10" t="s">
        <v>182</v>
      </c>
    </row>
    <row r="11" spans="1:5" ht="15" customHeight="1" x14ac:dyDescent="0.2">
      <c r="B11" t="s">
        <v>181</v>
      </c>
      <c r="C11" t="s">
        <v>173</v>
      </c>
      <c r="D11" t="s">
        <v>174</v>
      </c>
    </row>
    <row r="12" spans="1:5" ht="15" customHeight="1" x14ac:dyDescent="0.2">
      <c r="B12" t="s">
        <v>183</v>
      </c>
      <c r="C12" t="s">
        <v>184</v>
      </c>
    </row>
    <row r="13" spans="1:5" ht="15" customHeight="1" x14ac:dyDescent="0.2">
      <c r="A13" t="s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Layout definitions"/>
  <dimension ref="A1:M33"/>
  <sheetViews>
    <sheetView topLeftCell="A5" workbookViewId="0"/>
  </sheetViews>
  <sheetFormatPr defaultColWidth="9.140625" defaultRowHeight="15" customHeight="1" x14ac:dyDescent="0.2"/>
  <sheetData>
    <row r="1" spans="1:13" ht="15" customHeight="1" x14ac:dyDescent="0.2">
      <c r="A1" t="s">
        <v>99</v>
      </c>
      <c r="B1" t="s">
        <v>6</v>
      </c>
    </row>
    <row r="2" spans="1:13" ht="15" customHeight="1" x14ac:dyDescent="0.2">
      <c r="A2" t="s">
        <v>185</v>
      </c>
      <c r="B2" t="s">
        <v>186</v>
      </c>
    </row>
    <row r="4" spans="1:13" ht="15" customHeight="1" x14ac:dyDescent="0.2">
      <c r="B4" s="13">
        <v>1</v>
      </c>
      <c r="C4" s="13">
        <v>2</v>
      </c>
      <c r="D4" s="13">
        <v>3</v>
      </c>
      <c r="E4" s="13">
        <v>4</v>
      </c>
      <c r="F4" s="13">
        <v>5</v>
      </c>
      <c r="G4" s="13">
        <v>6</v>
      </c>
      <c r="H4" s="13">
        <v>7</v>
      </c>
      <c r="I4" s="13">
        <v>8</v>
      </c>
      <c r="J4" s="13">
        <v>9</v>
      </c>
      <c r="K4" s="13">
        <v>10</v>
      </c>
      <c r="L4" s="13">
        <v>11</v>
      </c>
      <c r="M4" s="13">
        <v>12</v>
      </c>
    </row>
    <row r="5" spans="1:13" ht="15" customHeight="1" x14ac:dyDescent="0.2">
      <c r="A5" s="39" t="s">
        <v>8</v>
      </c>
      <c r="B5" s="14" t="s">
        <v>17</v>
      </c>
      <c r="C5" s="14" t="s">
        <v>17</v>
      </c>
      <c r="D5" s="15" t="s">
        <v>18</v>
      </c>
      <c r="E5" s="15" t="s">
        <v>19</v>
      </c>
      <c r="F5" s="40"/>
      <c r="G5" s="40"/>
      <c r="H5" s="40"/>
      <c r="I5" s="40"/>
      <c r="J5" s="40"/>
      <c r="K5" s="40"/>
      <c r="L5" s="40"/>
      <c r="M5" s="40"/>
    </row>
    <row r="6" spans="1:13" ht="15" customHeight="1" x14ac:dyDescent="0.2">
      <c r="A6" s="40"/>
      <c r="B6" s="16" t="s">
        <v>187</v>
      </c>
      <c r="C6" s="16" t="s">
        <v>187</v>
      </c>
      <c r="D6" s="17" t="s">
        <v>187</v>
      </c>
      <c r="E6" s="17" t="s">
        <v>187</v>
      </c>
      <c r="F6" s="40"/>
      <c r="G6" s="40"/>
      <c r="H6" s="40"/>
      <c r="I6" s="40"/>
      <c r="J6" s="40"/>
      <c r="K6" s="40"/>
      <c r="L6" s="40"/>
      <c r="M6" s="40"/>
    </row>
    <row r="7" spans="1:13" ht="15" customHeight="1" x14ac:dyDescent="0.2">
      <c r="A7" s="40"/>
      <c r="B7" s="18" t="s">
        <v>188</v>
      </c>
      <c r="C7" s="18" t="s">
        <v>188</v>
      </c>
      <c r="D7" s="19" t="s">
        <v>189</v>
      </c>
      <c r="E7" s="19" t="s">
        <v>189</v>
      </c>
      <c r="F7" s="40"/>
      <c r="G7" s="40"/>
      <c r="H7" s="40"/>
      <c r="I7" s="40"/>
      <c r="J7" s="40"/>
      <c r="K7" s="40"/>
      <c r="L7" s="40"/>
      <c r="M7" s="40"/>
    </row>
    <row r="8" spans="1:13" ht="15" customHeight="1" x14ac:dyDescent="0.2">
      <c r="A8" s="39" t="s">
        <v>9</v>
      </c>
      <c r="B8" s="14" t="s">
        <v>20</v>
      </c>
      <c r="C8" s="14" t="s">
        <v>20</v>
      </c>
      <c r="D8" s="15" t="s">
        <v>21</v>
      </c>
      <c r="E8" s="15" t="s">
        <v>22</v>
      </c>
      <c r="F8" s="40"/>
      <c r="G8" s="40"/>
      <c r="H8" s="40"/>
      <c r="I8" s="40"/>
      <c r="J8" s="40"/>
      <c r="K8" s="40"/>
      <c r="L8" s="40"/>
      <c r="M8" s="40"/>
    </row>
    <row r="9" spans="1:13" ht="15" customHeight="1" x14ac:dyDescent="0.2">
      <c r="A9" s="40"/>
      <c r="B9" s="16" t="s">
        <v>187</v>
      </c>
      <c r="C9" s="16" t="s">
        <v>187</v>
      </c>
      <c r="D9" s="17" t="s">
        <v>187</v>
      </c>
      <c r="E9" s="17" t="s">
        <v>187</v>
      </c>
      <c r="F9" s="40"/>
      <c r="G9" s="40"/>
      <c r="H9" s="40"/>
      <c r="I9" s="40"/>
      <c r="J9" s="40"/>
      <c r="K9" s="40"/>
      <c r="L9" s="40"/>
      <c r="M9" s="40"/>
    </row>
    <row r="10" spans="1:13" ht="15" customHeight="1" x14ac:dyDescent="0.2">
      <c r="A10" s="40"/>
      <c r="B10" s="18" t="s">
        <v>190</v>
      </c>
      <c r="C10" s="18" t="s">
        <v>190</v>
      </c>
      <c r="D10" s="19" t="s">
        <v>189</v>
      </c>
      <c r="E10" s="19" t="s">
        <v>189</v>
      </c>
      <c r="F10" s="40"/>
      <c r="G10" s="40"/>
      <c r="H10" s="40"/>
      <c r="I10" s="40"/>
      <c r="J10" s="40"/>
      <c r="K10" s="40"/>
      <c r="L10" s="40"/>
      <c r="M10" s="40"/>
    </row>
    <row r="11" spans="1:13" ht="15" customHeight="1" x14ac:dyDescent="0.2">
      <c r="A11" s="39" t="s">
        <v>10</v>
      </c>
      <c r="B11" s="14" t="s">
        <v>23</v>
      </c>
      <c r="C11" s="14" t="s">
        <v>23</v>
      </c>
      <c r="D11" s="15" t="s">
        <v>24</v>
      </c>
      <c r="E11" s="15" t="s">
        <v>25</v>
      </c>
      <c r="F11" s="40"/>
      <c r="G11" s="40"/>
      <c r="H11" s="40"/>
      <c r="I11" s="40"/>
      <c r="J11" s="40"/>
      <c r="K11" s="40"/>
      <c r="L11" s="40"/>
      <c r="M11" s="40"/>
    </row>
    <row r="12" spans="1:13" ht="15" customHeight="1" x14ac:dyDescent="0.2">
      <c r="A12" s="40"/>
      <c r="B12" s="16" t="s">
        <v>187</v>
      </c>
      <c r="C12" s="16" t="s">
        <v>187</v>
      </c>
      <c r="D12" s="17" t="s">
        <v>187</v>
      </c>
      <c r="E12" s="17" t="s">
        <v>187</v>
      </c>
      <c r="F12" s="40"/>
      <c r="G12" s="40"/>
      <c r="H12" s="40"/>
      <c r="I12" s="40"/>
      <c r="J12" s="40"/>
      <c r="K12" s="40"/>
      <c r="L12" s="40"/>
      <c r="M12" s="40"/>
    </row>
    <row r="13" spans="1:13" ht="15" customHeight="1" x14ac:dyDescent="0.2">
      <c r="A13" s="40"/>
      <c r="B13" s="18" t="s">
        <v>191</v>
      </c>
      <c r="C13" s="18" t="s">
        <v>191</v>
      </c>
      <c r="D13" s="19" t="s">
        <v>189</v>
      </c>
      <c r="E13" s="19" t="s">
        <v>189</v>
      </c>
      <c r="F13" s="40"/>
      <c r="G13" s="40"/>
      <c r="H13" s="40"/>
      <c r="I13" s="40"/>
      <c r="J13" s="40"/>
      <c r="K13" s="40"/>
      <c r="L13" s="40"/>
      <c r="M13" s="40"/>
    </row>
    <row r="14" spans="1:13" ht="15" customHeight="1" x14ac:dyDescent="0.2">
      <c r="A14" s="39" t="s">
        <v>11</v>
      </c>
      <c r="B14" s="14" t="s">
        <v>26</v>
      </c>
      <c r="C14" s="14" t="s">
        <v>26</v>
      </c>
      <c r="D14" s="15" t="s">
        <v>27</v>
      </c>
      <c r="E14" s="15" t="s">
        <v>28</v>
      </c>
      <c r="F14" s="40"/>
      <c r="G14" s="40"/>
      <c r="H14" s="40"/>
      <c r="I14" s="40"/>
      <c r="J14" s="40"/>
      <c r="K14" s="40"/>
      <c r="L14" s="40"/>
      <c r="M14" s="40"/>
    </row>
    <row r="15" spans="1:13" ht="15" customHeight="1" x14ac:dyDescent="0.2">
      <c r="A15" s="40"/>
      <c r="B15" s="16" t="s">
        <v>187</v>
      </c>
      <c r="C15" s="16" t="s">
        <v>187</v>
      </c>
      <c r="D15" s="17" t="s">
        <v>187</v>
      </c>
      <c r="E15" s="17" t="s">
        <v>187</v>
      </c>
      <c r="F15" s="40"/>
      <c r="G15" s="40"/>
      <c r="H15" s="40"/>
      <c r="I15" s="40"/>
      <c r="J15" s="40"/>
      <c r="K15" s="40"/>
      <c r="L15" s="40"/>
      <c r="M15" s="40"/>
    </row>
    <row r="16" spans="1:13" ht="15" customHeight="1" x14ac:dyDescent="0.2">
      <c r="A16" s="40"/>
      <c r="B16" s="18" t="s">
        <v>192</v>
      </c>
      <c r="C16" s="18" t="s">
        <v>192</v>
      </c>
      <c r="D16" s="19" t="s">
        <v>189</v>
      </c>
      <c r="E16" s="19" t="s">
        <v>189</v>
      </c>
      <c r="F16" s="40"/>
      <c r="G16" s="40"/>
      <c r="H16" s="40"/>
      <c r="I16" s="40"/>
      <c r="J16" s="40"/>
      <c r="K16" s="40"/>
      <c r="L16" s="40"/>
      <c r="M16" s="40"/>
    </row>
    <row r="17" spans="1:13" ht="15" customHeight="1" x14ac:dyDescent="0.2">
      <c r="A17" s="39" t="s">
        <v>12</v>
      </c>
      <c r="B17" s="14" t="s">
        <v>29</v>
      </c>
      <c r="C17" s="14" t="s">
        <v>29</v>
      </c>
      <c r="D17" s="15" t="s">
        <v>30</v>
      </c>
      <c r="E17" s="15" t="s">
        <v>31</v>
      </c>
      <c r="F17" s="40"/>
      <c r="G17" s="40"/>
      <c r="H17" s="40"/>
      <c r="I17" s="40"/>
      <c r="J17" s="40"/>
      <c r="K17" s="40"/>
      <c r="L17" s="40"/>
      <c r="M17" s="40"/>
    </row>
    <row r="18" spans="1:13" ht="15" customHeight="1" x14ac:dyDescent="0.2">
      <c r="A18" s="40"/>
      <c r="B18" s="16" t="s">
        <v>187</v>
      </c>
      <c r="C18" s="16" t="s">
        <v>187</v>
      </c>
      <c r="D18" s="17" t="s">
        <v>187</v>
      </c>
      <c r="E18" s="17" t="s">
        <v>187</v>
      </c>
      <c r="F18" s="40"/>
      <c r="G18" s="40"/>
      <c r="H18" s="40"/>
      <c r="I18" s="40"/>
      <c r="J18" s="40"/>
      <c r="K18" s="40"/>
      <c r="L18" s="40"/>
      <c r="M18" s="40"/>
    </row>
    <row r="19" spans="1:13" ht="15" customHeight="1" x14ac:dyDescent="0.2">
      <c r="A19" s="40"/>
      <c r="B19" s="18" t="s">
        <v>193</v>
      </c>
      <c r="C19" s="18" t="s">
        <v>193</v>
      </c>
      <c r="D19" s="19" t="s">
        <v>189</v>
      </c>
      <c r="E19" s="19" t="s">
        <v>189</v>
      </c>
      <c r="F19" s="40"/>
      <c r="G19" s="40"/>
      <c r="H19" s="40"/>
      <c r="I19" s="40"/>
      <c r="J19" s="40"/>
      <c r="K19" s="40"/>
      <c r="L19" s="40"/>
      <c r="M19" s="40"/>
    </row>
    <row r="20" spans="1:13" ht="15" customHeight="1" x14ac:dyDescent="0.2">
      <c r="A20" s="39" t="s">
        <v>13</v>
      </c>
      <c r="B20" s="14" t="s">
        <v>32</v>
      </c>
      <c r="C20" s="14" t="s">
        <v>32</v>
      </c>
      <c r="D20" s="15" t="s">
        <v>33</v>
      </c>
      <c r="E20" s="15" t="s">
        <v>34</v>
      </c>
      <c r="F20" s="40"/>
      <c r="G20" s="40"/>
      <c r="H20" s="40"/>
      <c r="I20" s="40"/>
      <c r="J20" s="40"/>
      <c r="K20" s="40"/>
      <c r="L20" s="40"/>
      <c r="M20" s="40"/>
    </row>
    <row r="21" spans="1:13" ht="15" customHeight="1" x14ac:dyDescent="0.2">
      <c r="A21" s="40"/>
      <c r="B21" s="16" t="s">
        <v>187</v>
      </c>
      <c r="C21" s="16" t="s">
        <v>187</v>
      </c>
      <c r="D21" s="17" t="s">
        <v>187</v>
      </c>
      <c r="E21" s="17" t="s">
        <v>187</v>
      </c>
      <c r="F21" s="40"/>
      <c r="G21" s="40"/>
      <c r="H21" s="40"/>
      <c r="I21" s="40"/>
      <c r="J21" s="40"/>
      <c r="K21" s="40"/>
      <c r="L21" s="40"/>
      <c r="M21" s="40"/>
    </row>
    <row r="22" spans="1:13" ht="15" customHeight="1" x14ac:dyDescent="0.2">
      <c r="A22" s="40"/>
      <c r="B22" s="18" t="s">
        <v>194</v>
      </c>
      <c r="C22" s="18" t="s">
        <v>194</v>
      </c>
      <c r="D22" s="19" t="s">
        <v>189</v>
      </c>
      <c r="E22" s="19" t="s">
        <v>189</v>
      </c>
      <c r="F22" s="40"/>
      <c r="G22" s="40"/>
      <c r="H22" s="40"/>
      <c r="I22" s="40"/>
      <c r="J22" s="40"/>
      <c r="K22" s="40"/>
      <c r="L22" s="40"/>
      <c r="M22" s="40"/>
    </row>
    <row r="23" spans="1:13" ht="15" customHeight="1" x14ac:dyDescent="0.2">
      <c r="A23" s="39" t="s">
        <v>14</v>
      </c>
      <c r="B23" s="14" t="s">
        <v>35</v>
      </c>
      <c r="C23" s="15" t="s">
        <v>36</v>
      </c>
      <c r="D23" s="15" t="s">
        <v>37</v>
      </c>
      <c r="E23" s="15" t="s">
        <v>38</v>
      </c>
      <c r="F23" s="40"/>
      <c r="G23" s="40"/>
      <c r="H23" s="40"/>
      <c r="I23" s="40"/>
      <c r="J23" s="40"/>
      <c r="K23" s="40"/>
      <c r="L23" s="40"/>
      <c r="M23" s="40"/>
    </row>
    <row r="24" spans="1:13" ht="15" customHeight="1" x14ac:dyDescent="0.2">
      <c r="A24" s="40"/>
      <c r="B24" s="16" t="s">
        <v>187</v>
      </c>
      <c r="C24" s="17" t="s">
        <v>187</v>
      </c>
      <c r="D24" s="17" t="s">
        <v>187</v>
      </c>
      <c r="E24" s="17" t="s">
        <v>187</v>
      </c>
      <c r="F24" s="40"/>
      <c r="G24" s="40"/>
      <c r="H24" s="40"/>
      <c r="I24" s="40"/>
      <c r="J24" s="40"/>
      <c r="K24" s="40"/>
      <c r="L24" s="40"/>
      <c r="M24" s="40"/>
    </row>
    <row r="25" spans="1:13" ht="15" customHeight="1" x14ac:dyDescent="0.2">
      <c r="A25" s="40"/>
      <c r="B25" s="18" t="s">
        <v>195</v>
      </c>
      <c r="C25" s="19" t="s">
        <v>189</v>
      </c>
      <c r="D25" s="19" t="s">
        <v>189</v>
      </c>
      <c r="E25" s="19" t="s">
        <v>189</v>
      </c>
      <c r="F25" s="40"/>
      <c r="G25" s="40"/>
      <c r="H25" s="40"/>
      <c r="I25" s="40"/>
      <c r="J25" s="40"/>
      <c r="K25" s="40"/>
      <c r="L25" s="40"/>
      <c r="M25" s="40"/>
    </row>
    <row r="26" spans="1:13" ht="15" customHeight="1" x14ac:dyDescent="0.2">
      <c r="A26" s="39" t="s">
        <v>15</v>
      </c>
      <c r="B26" s="20" t="s">
        <v>39</v>
      </c>
      <c r="C26" s="15" t="s">
        <v>40</v>
      </c>
      <c r="D26" s="15" t="s">
        <v>41</v>
      </c>
      <c r="E26" s="15" t="s">
        <v>42</v>
      </c>
      <c r="F26" s="40"/>
      <c r="G26" s="40"/>
      <c r="H26" s="40"/>
      <c r="I26" s="40"/>
      <c r="J26" s="40"/>
      <c r="K26" s="40"/>
      <c r="L26" s="40"/>
      <c r="M26" s="40"/>
    </row>
    <row r="27" spans="1:13" ht="15" customHeight="1" x14ac:dyDescent="0.2">
      <c r="A27" s="40"/>
      <c r="B27" s="21" t="s">
        <v>187</v>
      </c>
      <c r="C27" s="17" t="s">
        <v>187</v>
      </c>
      <c r="D27" s="17" t="s">
        <v>187</v>
      </c>
      <c r="E27" s="17" t="s">
        <v>187</v>
      </c>
      <c r="F27" s="40"/>
      <c r="G27" s="40"/>
      <c r="H27" s="40"/>
      <c r="I27" s="40"/>
      <c r="J27" s="40"/>
      <c r="K27" s="40"/>
      <c r="L27" s="40"/>
      <c r="M27" s="40"/>
    </row>
    <row r="28" spans="1:13" ht="15" customHeight="1" x14ac:dyDescent="0.2">
      <c r="A28" s="40"/>
      <c r="B28" s="22"/>
      <c r="C28" s="19" t="s">
        <v>189</v>
      </c>
      <c r="D28" s="19" t="s">
        <v>189</v>
      </c>
      <c r="E28" s="19" t="s">
        <v>189</v>
      </c>
      <c r="F28" s="40"/>
      <c r="G28" s="40"/>
      <c r="H28" s="40"/>
      <c r="I28" s="40"/>
      <c r="J28" s="40"/>
      <c r="K28" s="40"/>
      <c r="L28" s="40"/>
      <c r="M28" s="40"/>
    </row>
    <row r="33" spans="1:1" ht="15" customHeight="1" x14ac:dyDescent="0.2">
      <c r="A33" t="s">
        <v>3</v>
      </c>
    </row>
  </sheetData>
  <mergeCells count="72">
    <mergeCell ref="M20:M22"/>
    <mergeCell ref="M23:M25"/>
    <mergeCell ref="M26:M28"/>
    <mergeCell ref="M5:M7"/>
    <mergeCell ref="M8:M10"/>
    <mergeCell ref="M11:M13"/>
    <mergeCell ref="M14:M16"/>
    <mergeCell ref="M17:M19"/>
    <mergeCell ref="K20:K22"/>
    <mergeCell ref="K23:K25"/>
    <mergeCell ref="K26:K28"/>
    <mergeCell ref="L5:L7"/>
    <mergeCell ref="L8:L10"/>
    <mergeCell ref="L11:L13"/>
    <mergeCell ref="L14:L16"/>
    <mergeCell ref="L17:L19"/>
    <mergeCell ref="L20:L22"/>
    <mergeCell ref="L23:L25"/>
    <mergeCell ref="L26:L28"/>
    <mergeCell ref="K5:K7"/>
    <mergeCell ref="K8:K10"/>
    <mergeCell ref="K11:K13"/>
    <mergeCell ref="K14:K16"/>
    <mergeCell ref="K17:K19"/>
    <mergeCell ref="I20:I22"/>
    <mergeCell ref="I23:I25"/>
    <mergeCell ref="I26:I28"/>
    <mergeCell ref="J5:J7"/>
    <mergeCell ref="J8:J10"/>
    <mergeCell ref="J11:J13"/>
    <mergeCell ref="J14:J16"/>
    <mergeCell ref="J17:J19"/>
    <mergeCell ref="J20:J22"/>
    <mergeCell ref="J23:J25"/>
    <mergeCell ref="J26:J28"/>
    <mergeCell ref="I5:I7"/>
    <mergeCell ref="I8:I10"/>
    <mergeCell ref="I11:I13"/>
    <mergeCell ref="I14:I16"/>
    <mergeCell ref="I17:I19"/>
    <mergeCell ref="G20:G22"/>
    <mergeCell ref="G23:G25"/>
    <mergeCell ref="G26:G28"/>
    <mergeCell ref="H5:H7"/>
    <mergeCell ref="H8:H10"/>
    <mergeCell ref="H11:H13"/>
    <mergeCell ref="H14:H16"/>
    <mergeCell ref="H17:H19"/>
    <mergeCell ref="H20:H22"/>
    <mergeCell ref="H23:H25"/>
    <mergeCell ref="H26:H28"/>
    <mergeCell ref="G5:G7"/>
    <mergeCell ref="G8:G10"/>
    <mergeCell ref="G11:G13"/>
    <mergeCell ref="G14:G16"/>
    <mergeCell ref="G17:G19"/>
    <mergeCell ref="A20:A22"/>
    <mergeCell ref="A23:A25"/>
    <mergeCell ref="A26:A28"/>
    <mergeCell ref="F5:F7"/>
    <mergeCell ref="F8:F10"/>
    <mergeCell ref="F11:F13"/>
    <mergeCell ref="F14:F16"/>
    <mergeCell ref="F17:F19"/>
    <mergeCell ref="F20:F22"/>
    <mergeCell ref="F23:F25"/>
    <mergeCell ref="F26:F28"/>
    <mergeCell ref="A5:A7"/>
    <mergeCell ref="A8:A10"/>
    <mergeCell ref="A11:A13"/>
    <mergeCell ref="A14:A16"/>
    <mergeCell ref="A17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Absorbance 1_01</vt:lpstr>
      <vt:lpstr>Standard Curve 1_02</vt:lpstr>
      <vt:lpstr>Blank Subtraction 1_03</vt:lpstr>
      <vt:lpstr>Standard Curve 2_04</vt:lpstr>
      <vt:lpstr>General information</vt:lpstr>
      <vt:lpstr>Session information</vt:lpstr>
      <vt:lpstr>Instrument information</vt:lpstr>
      <vt:lpstr>Protocol parameters</vt:lpstr>
      <vt:lpstr>Run log</vt:lpstr>
      <vt:lpstr>Layout definitions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Delarocque, Julien</cp:lastModifiedBy>
  <dcterms:created xsi:type="dcterms:W3CDTF">2026-07-30T21:37:49Z</dcterms:created>
  <dcterms:modified xsi:type="dcterms:W3CDTF">2026-09-10T14:32:16Z</dcterms:modified>
</cp:coreProperties>
</file>