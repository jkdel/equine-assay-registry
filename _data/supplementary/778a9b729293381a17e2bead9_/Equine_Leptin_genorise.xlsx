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Leptin/"/>
    </mc:Choice>
  </mc:AlternateContent>
  <xr:revisionPtr revIDLastSave="58" documentId="8_{0DEB1B6B-BF58-407C-B200-D6603435D7FB}" xr6:coauthVersionLast="47" xr6:coauthVersionMax="47" xr10:uidLastSave="{5B69E29B-F10C-4EBD-A65D-F842343E0CBA}"/>
  <bookViews>
    <workbookView xWindow="-120" yWindow="-120" windowWidth="29040" windowHeight="15720" activeTab="3" xr2:uid="{00000000-000D-0000-FFFF-FFFF00000000}"/>
  </bookViews>
  <sheets>
    <sheet name="Absorbance 09_14_26" sheetId="1" r:id="rId1"/>
    <sheet name="Standard Curve 09_14_26" sheetId="8" r:id="rId2"/>
    <sheet name="Absorbance 10_20_26" sheetId="15" r:id="rId3"/>
    <sheet name="Standard Curve 10_20_26" sheetId="16" r:id="rId4"/>
    <sheet name="General information" sheetId="9" r:id="rId5"/>
    <sheet name="Session information" sheetId="10" r:id="rId6"/>
    <sheet name="Instrument information" sheetId="11" r:id="rId7"/>
    <sheet name="Protocol parameters" sheetId="12" r:id="rId8"/>
    <sheet name="Run log" sheetId="13" r:id="rId9"/>
    <sheet name="Layout definitions" sheetId="14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" i="16" l="1"/>
  <c r="M95" i="16"/>
  <c r="M94" i="16"/>
  <c r="M93" i="16"/>
  <c r="L89" i="16"/>
  <c r="L88" i="16"/>
  <c r="L87" i="16"/>
  <c r="L86" i="16"/>
  <c r="L85" i="16"/>
  <c r="M80" i="16"/>
  <c r="M79" i="16"/>
  <c r="M78" i="16"/>
  <c r="M77" i="16"/>
  <c r="L73" i="16"/>
  <c r="L72" i="16"/>
  <c r="L71" i="16"/>
  <c r="L70" i="16"/>
  <c r="L69" i="16"/>
  <c r="M103" i="8"/>
  <c r="M102" i="8"/>
  <c r="M101" i="8"/>
  <c r="M100" i="8"/>
  <c r="L96" i="8"/>
  <c r="L95" i="8"/>
  <c r="L94" i="8"/>
  <c r="L93" i="8"/>
  <c r="L92" i="8"/>
  <c r="M87" i="8"/>
  <c r="M86" i="8"/>
  <c r="M85" i="8"/>
  <c r="M84" i="8"/>
</calcChain>
</file>

<file path=xl/sharedStrings.xml><?xml version="1.0" encoding="utf-8"?>
<sst xmlns="http://schemas.openxmlformats.org/spreadsheetml/2006/main" count="966" uniqueCount="284">
  <si>
    <t>Measurement results</t>
  </si>
  <si>
    <t>Equine Leptin_genorise_09_14_26_first trial (1).skax</t>
  </si>
  <si>
    <t>2026-09-14T17:11:04-05:00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</si>
  <si>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</si>
  <si>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</si>
  <si>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</si>
  <si>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</si>
  <si>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</si>
  <si>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</si>
  <si>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</si>
  <si>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</si>
  <si>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</si>
  <si>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</si>
  <si>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</si>
  <si>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</si>
  <si>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</si>
  <si>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Wavelength: 540 nm</t>
  </si>
  <si>
    <t>Sample</t>
  </si>
  <si>
    <t>Std70001</t>
  </si>
  <si>
    <t>Un0002</t>
  </si>
  <si>
    <t>Un0010</t>
  </si>
  <si>
    <t>Un0018</t>
  </si>
  <si>
    <t>Un0026</t>
  </si>
  <si>
    <t>Std60001</t>
  </si>
  <si>
    <t>Un0003</t>
  </si>
  <si>
    <t>Un0011</t>
  </si>
  <si>
    <t>Un0019</t>
  </si>
  <si>
    <t>Un0027</t>
  </si>
  <si>
    <t>Std50001</t>
  </si>
  <si>
    <t>Un0004</t>
  </si>
  <si>
    <t>Un0012</t>
  </si>
  <si>
    <t>Un0020</t>
  </si>
  <si>
    <t>Un0028</t>
  </si>
  <si>
    <t>Std40001</t>
  </si>
  <si>
    <t>Un0005</t>
  </si>
  <si>
    <t>Un0013</t>
  </si>
  <si>
    <t>Un0021</t>
  </si>
  <si>
    <t>Un0029</t>
  </si>
  <si>
    <t>Std30001</t>
  </si>
  <si>
    <t>Un0006</t>
  </si>
  <si>
    <t>Un0014</t>
  </si>
  <si>
    <t>Un0022</t>
  </si>
  <si>
    <t>Un0030</t>
  </si>
  <si>
    <t>Std20001</t>
  </si>
  <si>
    <t>Un0007</t>
  </si>
  <si>
    <t>Un0015</t>
  </si>
  <si>
    <t>Un0023</t>
  </si>
  <si>
    <t>Un0031</t>
  </si>
  <si>
    <t>Std10001</t>
  </si>
  <si>
    <t>Un0008</t>
  </si>
  <si>
    <t>Un0016</t>
  </si>
  <si>
    <t>Un0024</t>
  </si>
  <si>
    <t>Un0032</t>
  </si>
  <si>
    <t>Blank1</t>
  </si>
  <si>
    <t>Un0001</t>
  </si>
  <si>
    <t>Un0009</t>
  </si>
  <si>
    <t>Un0017</t>
  </si>
  <si>
    <t>Un0025</t>
  </si>
  <si>
    <t>Un0033</t>
  </si>
  <si>
    <t>Autoloading range A1 - M42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</si>
  <si>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</si>
  <si>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</si>
  <si>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</si>
  <si>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</si>
  <si>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</si>
  <si>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d + ( (a - d) / ( 1 + (x/c)^b) )</t>
  </si>
  <si>
    <t>Where:</t>
  </si>
  <si>
    <t>a =</t>
  </si>
  <si>
    <t>b =</t>
  </si>
  <si>
    <t>c =</t>
  </si>
  <si>
    <t>d =</t>
  </si>
  <si>
    <t>R²: 0.998</t>
  </si>
  <si>
    <t>Well</t>
  </si>
  <si>
    <t>Conc. [pg/mL]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</si>
  <si>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</si>
  <si>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</si>
  <si>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</si>
  <si>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</si>
  <si>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</si>
  <si>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</si>
  <si>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</si>
  <si>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</si>
  <si>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</si>
  <si>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</si>
  <si>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</si>
  <si>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</si>
  <si>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</si>
  <si>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</si>
  <si>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</si>
  <si>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</si>
  <si>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</si>
  <si>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</si>
  <si>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</si>
  <si>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</si>
  <si>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</si>
  <si>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M100</t>
  </si>
  <si>
    <t>Standard Curve 4</t>
  </si>
  <si>
    <t>y = 3.37161 + ( (0.0976745 - 3.37161) / ( 1 + (x/2959.2)^1.27583)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</si>
  <si>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</si>
  <si>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</si>
  <si>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</si>
  <si>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</si>
  <si>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</si>
  <si>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</si>
  <si>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</si>
  <si>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</si>
  <si>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Equine leptin_Genorise_first trial_09_14_26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</si>
  <si>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</si>
  <si>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</si>
  <si>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</si>
  <si>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</si>
  <si>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</si>
  <si>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</si>
  <si>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</si>
  <si>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</si>
  <si>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</si>
  <si>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</si>
  <si>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</si>
  <si>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</si>
  <si>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</si>
  <si>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</si>
  <si>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</si>
  <si>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</si>
  <si>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</si>
  <si>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</si>
  <si>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</si>
  <si>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</si>
  <si>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</si>
  <si>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</si>
  <si>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</si>
  <si>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</si>
  <si>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</si>
  <si>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</si>
  <si>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</si>
  <si>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</si>
  <si>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</si>
  <si>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</si>
  <si>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</si>
  <si>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</si>
  <si>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</si>
  <si>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</si>
  <si>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</si>
  <si>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</si>
  <si>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</si>
  <si>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</si>
  <si>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</si>
  <si>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</si>
  <si>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</si>
  <si>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</si>
  <si>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</si>
  <si>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</si>
  <si>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</si>
  <si>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</si>
  <si>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</si>
  <si>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</si>
  <si>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</si>
  <si>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</si>
  <si>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</si>
  <si>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</si>
  <si>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</si>
  <si>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</si>
  <si>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</si>
  <si>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</si>
  <si>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</si>
  <si>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</si>
  <si>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</si>
  <si>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Wavelength [nm]</t>
  </si>
  <si>
    <t>540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</si>
  <si>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</si>
  <si>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</si>
  <si>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</si>
  <si>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</si>
  <si>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</si>
  <si>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</si>
  <si>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</si>
  <si>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</si>
  <si>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 Leptin_genorise_09_14_26_first trial (1).skax started</t>
  </si>
  <si>
    <t>Temperature</t>
  </si>
  <si>
    <t>23.4°C</t>
  </si>
  <si>
    <t>2026-09-14T17:11:05-05:00</t>
  </si>
  <si>
    <t>Step Absorbance 1 started</t>
  </si>
  <si>
    <t>2026-09-14T17:11:06-05:00</t>
  </si>
  <si>
    <t>2026-09-14T17:12:06-05:00</t>
  </si>
  <si>
    <t>2026-09-14T17:12:23-05:00</t>
  </si>
  <si>
    <t>Step Absorbance 1 ended</t>
  </si>
  <si>
    <t>2026-09-14T17:12:28-05:00</t>
  </si>
  <si>
    <t>Session Equine Leptin_genorise_09_14_26_first trial (1).skax ended</t>
  </si>
  <si>
    <t>Plate template</t>
  </si>
  <si>
    <t>ANSI/SBS Standard, 96-well</t>
  </si>
  <si>
    <t>Group 1</t>
  </si>
  <si>
    <t>25 pg/mL</t>
  </si>
  <si>
    <t>1:1</t>
  </si>
  <si>
    <t>50 pg/mL</t>
  </si>
  <si>
    <t>100 pg/mL</t>
  </si>
  <si>
    <t>200 pg/mL</t>
  </si>
  <si>
    <t>400 pg/mL</t>
  </si>
  <si>
    <t>800 pg/mL</t>
  </si>
  <si>
    <t>1600 pg/mL</t>
  </si>
  <si>
    <t>Std1 1600</t>
  </si>
  <si>
    <t>Std2 800</t>
  </si>
  <si>
    <t>Std3 400</t>
  </si>
  <si>
    <t>Std4 200</t>
  </si>
  <si>
    <t>Std5 100</t>
  </si>
  <si>
    <t>Std6 50</t>
  </si>
  <si>
    <t>Std7 25</t>
  </si>
  <si>
    <t>Serum 1X</t>
  </si>
  <si>
    <t>EtOH 16X</t>
  </si>
  <si>
    <t>Serum 2X</t>
  </si>
  <si>
    <t>EtOH 64X</t>
  </si>
  <si>
    <t>Serum 4X</t>
  </si>
  <si>
    <t>Serum 16X</t>
  </si>
  <si>
    <t>Serum 64X</t>
  </si>
  <si>
    <t>EtOH 1X</t>
  </si>
  <si>
    <t>EtOH 2X</t>
  </si>
  <si>
    <t>EtOH 4X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</si>
  <si>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</si>
  <si>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</si>
  <si>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</si>
  <si>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</si>
  <si>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</si>
  <si>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</si>
  <si>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</si>
  <si>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Serum treated with EtOH</t>
  </si>
  <si>
    <t>spike1 (Serum 1X)</t>
  </si>
  <si>
    <t>spike2 (Serum 4X)</t>
  </si>
  <si>
    <t>spike3 (Serum 16X)</t>
  </si>
  <si>
    <t>spike4 (Serum 64X)</t>
  </si>
  <si>
    <t>spike8 (EtOH 64X)</t>
  </si>
  <si>
    <t>spike7 (EtOH 16X)</t>
  </si>
  <si>
    <t>spike6 (EtOH 4X)</t>
  </si>
  <si>
    <t>spike5 (EtOH 1X)</t>
  </si>
  <si>
    <t>spike4 192 (Serum 64X)</t>
  </si>
  <si>
    <t>spike1 192 (Serum 1X)</t>
  </si>
  <si>
    <t>spike2 192 (Serum 4X)</t>
  </si>
  <si>
    <t>spike6 200 (EtOH 4X)</t>
  </si>
  <si>
    <t>spike5 200 (EtOH 1X)</t>
  </si>
  <si>
    <t>spike3 192 (Serum 16X)</t>
  </si>
  <si>
    <t>spike7 200 (EtOH 16X)</t>
  </si>
  <si>
    <t>spike8 200 (EtOH 64X)</t>
  </si>
  <si>
    <t>Equine Leptin__Genorise_10_20_26_second trial (1).skax</t>
  </si>
  <si>
    <t>2026-10-20T16:04:36-05:00</t>
  </si>
  <si>
    <t>EtOH1 - 2.5X</t>
  </si>
  <si>
    <t>EtOH2 - 20X</t>
  </si>
  <si>
    <t>EtOH1 - 5X</t>
  </si>
  <si>
    <t>EtOH2 - 40X</t>
  </si>
  <si>
    <t>spike7 200 (EtOH2 - 20X)</t>
  </si>
  <si>
    <t>EtOH1 - 10X</t>
  </si>
  <si>
    <t>spike1 200 (EtOH1 - 2.5X)</t>
  </si>
  <si>
    <t>EtOH1 - 20X</t>
  </si>
  <si>
    <t>spike2 200 (EtOH1 - 10X)</t>
  </si>
  <si>
    <t>EtOH1 - 40X</t>
  </si>
  <si>
    <t>spike6 200 (EtOH2 - 10X)</t>
  </si>
  <si>
    <t>spike3 200 (EtOH1 - 20X)</t>
  </si>
  <si>
    <t>spike4 200 (EtOH1 - 40X)</t>
  </si>
  <si>
    <t>EtOH2 - 2.5X</t>
  </si>
  <si>
    <t>spike5 200 (EtOH2 - 2.5X)</t>
  </si>
  <si>
    <t>EtOH2 - 5X</t>
  </si>
  <si>
    <t>extraction recovery 1 (ER1)</t>
  </si>
  <si>
    <t>extraction recovery 2 (ER2)</t>
  </si>
  <si>
    <t>spike8 200 (EtOH2 - 40X)</t>
  </si>
  <si>
    <t>EtOH2 - 10X</t>
  </si>
  <si>
    <t>extraction recovery 3 (ER3)</t>
  </si>
  <si>
    <t>extraction recovery 4 (ER4)</t>
  </si>
  <si>
    <t>extraction recovery 1 = 200pg/mL std added to the serum befor single ethanol extraction</t>
  </si>
  <si>
    <t>extraction recovery 2 = extraction recovery 1 is 10 times diluted</t>
  </si>
  <si>
    <t>extraction recovery 3 =  200pg/mL std added to the serum befor double ethanol extraction</t>
  </si>
  <si>
    <t>extraction recovery 4 = extraction recovery 3 is 10 times diluted</t>
  </si>
  <si>
    <t>y = 2.04684 + ( (-0.0303902 - 2.04684) / ( 1 + (x/1212.16)^1.20986) )</t>
  </si>
  <si>
    <t>R²: 0.999</t>
  </si>
  <si>
    <t>Data for single ethanol extracted serum sample</t>
  </si>
  <si>
    <t>Calculation of dilution linearity recovery</t>
  </si>
  <si>
    <t>Calculation of spike recovery</t>
  </si>
  <si>
    <t>Data for double ethanol extracted serum sample</t>
  </si>
  <si>
    <t>EtOH = ethanol extracted serum sample</t>
  </si>
  <si>
    <t>EtOH2 = Double ethanol extracted serum sample for twice</t>
  </si>
  <si>
    <t>EtOH1 = Single ethanol extracted serum sample</t>
  </si>
  <si>
    <t>Spikes Preparation</t>
  </si>
  <si>
    <t>Sample vol (uL)</t>
  </si>
  <si>
    <t>Std vol (uL)</t>
  </si>
  <si>
    <t>Std Conc (pg/mL)</t>
  </si>
  <si>
    <t>192 pg/mL Spikes Preparation</t>
  </si>
  <si>
    <t>200 pg/mL Spikes Preparation</t>
  </si>
  <si>
    <t>Spike Conc (pg/mL)</t>
  </si>
  <si>
    <t>Reliable dilution factor could not be determinded so we cannot calculate the dilution linearity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</si>
</sst>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0"/>
    <numFmt numFmtId="166" formatCode="0.00000"/>
    <numFmt numFmtId="167" formatCode="0.000000000"/>
    <numFmt numFmtId="168" formatCode="0.00000000"/>
    <numFmt numFmtId="169" formatCode="0.000"/>
    <numFmt numFmtId="170" formatCode="0.0000000"/>
    <numFmt numFmtId="171" formatCode="0.0"/>
  </numFmts>
  <fonts count="4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0" fillId="0" borderId="0" xfId="0" applyNumberFormat="1"/>
    <xf numFmtId="171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9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70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5" borderId="0" xfId="0" applyFont="1" applyFill="1" applyAlignment="1">
      <alignment horizontal="left"/>
    </xf>
    <xf numFmtId="0" fontId="2" fillId="0" borderId="5" xfId="0" applyFont="1" applyBorder="1"/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7" borderId="0" xfId="0" applyFill="1" applyAlignment="1">
      <alignment horizontal="left" vertic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8" borderId="0" xfId="0" applyFill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49" fontId="3" fillId="0" borderId="17" xfId="0" applyNumberFormat="1" applyFont="1" applyBorder="1" applyAlignment="1">
      <alignment horizontal="center" wrapText="1"/>
    </xf>
    <xf numFmtId="49" fontId="3" fillId="0" borderId="18" xfId="0" applyNumberFormat="1" applyFont="1" applyBorder="1" applyAlignment="1">
      <alignment horizontal="center" wrapText="1"/>
    </xf>
    <xf numFmtId="49" fontId="3" fillId="0" borderId="19" xfId="0" applyNumberFormat="1" applyFont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21" xfId="0" applyNumberFormat="1" applyFont="1" applyBorder="1" applyAlignment="1">
      <alignment horizontal="center" wrapText="1"/>
    </xf>
    <xf numFmtId="49" fontId="3" fillId="0" borderId="22" xfId="0" applyNumberFormat="1" applyFont="1" applyBorder="1" applyAlignment="1">
      <alignment horizontal="center" wrapText="1"/>
    </xf>
    <xf numFmtId="49" fontId="3" fillId="0" borderId="23" xfId="0" applyNumberFormat="1" applyFont="1" applyBorder="1" applyAlignment="1">
      <alignment horizontal="center" wrapText="1"/>
    </xf>
    <xf numFmtId="49" fontId="3" fillId="0" borderId="24" xfId="0" applyNumberFormat="1" applyFont="1" applyBorder="1" applyAlignment="1">
      <alignment horizontal="center" wrapText="1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 vertical="center"/>
    </xf>
    <xf numFmtId="49" fontId="3" fillId="0" borderId="8" xfId="0" applyNumberFormat="1" applyFont="1" applyBorder="1" applyAlignment="1">
      <alignment horizontal="center" wrapText="1"/>
    </xf>
    <xf numFmtId="49" fontId="3" fillId="0" borderId="9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center" wrapText="1"/>
    </xf>
    <xf numFmtId="49" fontId="3" fillId="0" borderId="1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12" xfId="0" applyNumberFormat="1" applyFont="1" applyBorder="1" applyAlignment="1">
      <alignment horizontal="center" wrapText="1"/>
    </xf>
    <xf numFmtId="49" fontId="3" fillId="0" borderId="13" xfId="0" applyNumberFormat="1" applyFont="1" applyBorder="1" applyAlignment="1">
      <alignment horizontal="center" wrapText="1"/>
    </xf>
    <xf numFmtId="49" fontId="3" fillId="0" borderId="14" xfId="0" applyNumberFormat="1" applyFont="1" applyBorder="1" applyAlignment="1">
      <alignment horizontal="center" wrapText="1"/>
    </xf>
    <xf numFmtId="49" fontId="3" fillId="0" borderId="15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704850</xdr:colOff>
      <xdr:row>32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428625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EDFBC-E424-435F-9562-D4257EA9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57400"/>
          <a:ext cx="6886575" cy="3238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Q45"/>
  <sheetViews>
    <sheetView topLeftCell="A16" workbookViewId="0">
      <selection activeCell="E45" sqref="E45:F45"/>
    </sheetView>
  </sheetViews>
  <sheetFormatPr defaultColWidth="9.140625" defaultRowHeight="15" customHeight="1" x14ac:dyDescent="0.2"/>
  <cols>
    <col min="1" max="1" width="9.85546875" customWidth="1"/>
    <col min="2" max="7" width="22.28515625" customWidth="1"/>
    <col min="8" max="10" width="3.140625" customWidth="1"/>
    <col min="11" max="13" width="4.140625" customWidth="1"/>
  </cols>
  <sheetData>
    <row r="1" spans="1:17" ht="15" customHeight="1" x14ac:dyDescent="0.2">
      <c r="A1" t="s">
        <v>0</v>
      </c>
    </row>
    <row r="2" spans="1:17" ht="15" customHeight="1" x14ac:dyDescent="0.2">
      <c r="A2" t="s">
        <v>1</v>
      </c>
    </row>
    <row r="3" spans="1:17" ht="15" customHeight="1" x14ac:dyDescent="0.2">
      <c r="A3" t="s">
        <v>2</v>
      </c>
    </row>
    <row r="4" spans="1:17" ht="15" customHeight="1" x14ac:dyDescent="0.2">
      <c r="A4" t="s">
        <v>3</v>
      </c>
    </row>
    <row r="5" spans="1:17" ht="15" customHeight="1" x14ac:dyDescent="0.2">
      <c r="A5" t="s">
        <v>4</v>
      </c>
    </row>
    <row r="6" spans="1:17" ht="15" customHeight="1" x14ac:dyDescent="0.2">
      <c r="A6" t="s">
        <v>5</v>
      </c>
    </row>
    <row r="7" spans="1:17" ht="15" customHeight="1" x14ac:dyDescent="0.2">
      <c r="A7" t="s">
        <v>3</v>
      </c>
    </row>
    <row r="8" spans="1:17" ht="15" customHeight="1" x14ac:dyDescent="0.2">
      <c r="A8" t="s">
        <v>6</v>
      </c>
    </row>
    <row r="9" spans="1:17" ht="15" customHeight="1" x14ac:dyDescent="0.2">
      <c r="A9" t="s">
        <v>3</v>
      </c>
    </row>
    <row r="10" spans="1:17" ht="15" customHeight="1" x14ac:dyDescent="0.2">
      <c r="A10" s="22" t="s">
        <v>7</v>
      </c>
      <c r="B10" s="23">
        <v>1</v>
      </c>
      <c r="C10" s="23">
        <v>2</v>
      </c>
      <c r="D10" s="23">
        <v>3</v>
      </c>
      <c r="E10" s="23">
        <v>4</v>
      </c>
      <c r="F10" s="23">
        <v>5</v>
      </c>
      <c r="G10" s="23">
        <v>6</v>
      </c>
      <c r="H10" s="1"/>
      <c r="I10" s="1"/>
      <c r="J10" s="1"/>
      <c r="K10" s="1"/>
      <c r="L10" s="1"/>
      <c r="M10" s="1"/>
    </row>
    <row r="11" spans="1:17" ht="15" customHeight="1" x14ac:dyDescent="0.2">
      <c r="A11" s="22" t="s">
        <v>8</v>
      </c>
      <c r="B11" s="25">
        <v>0.35659999999999997</v>
      </c>
      <c r="C11" s="25">
        <v>0.37880000000000003</v>
      </c>
      <c r="D11" s="25">
        <v>0.25969999999999999</v>
      </c>
      <c r="E11" s="25">
        <v>0.27079999999999999</v>
      </c>
      <c r="F11" s="25">
        <v>0.45450000000000002</v>
      </c>
      <c r="G11" s="25">
        <v>0.45100000000000001</v>
      </c>
      <c r="Q11" s="9"/>
    </row>
    <row r="12" spans="1:17" ht="15" customHeight="1" x14ac:dyDescent="0.2">
      <c r="A12" s="22" t="s">
        <v>9</v>
      </c>
      <c r="B12" s="25">
        <v>0.41120000000000001</v>
      </c>
      <c r="C12" s="25">
        <v>0.42120000000000002</v>
      </c>
      <c r="D12" s="25">
        <v>0.29630000000000001</v>
      </c>
      <c r="E12" s="25">
        <v>0.32579999999999998</v>
      </c>
      <c r="F12" s="25">
        <v>0.63270000000000004</v>
      </c>
      <c r="G12" s="25">
        <v>0.63539999999999996</v>
      </c>
      <c r="Q12" s="9"/>
    </row>
    <row r="13" spans="1:17" ht="15" customHeight="1" x14ac:dyDescent="0.2">
      <c r="A13" s="22" t="s">
        <v>10</v>
      </c>
      <c r="B13" s="25">
        <v>0.39150000000000001</v>
      </c>
      <c r="C13" s="25">
        <v>0.39689999999999998</v>
      </c>
      <c r="D13" s="25">
        <v>0.31909999999999999</v>
      </c>
      <c r="E13" s="25">
        <v>0.30730000000000002</v>
      </c>
      <c r="F13" s="25">
        <v>0.56340000000000001</v>
      </c>
      <c r="G13" s="25">
        <v>0.59060000000000001</v>
      </c>
      <c r="Q13" s="9"/>
    </row>
    <row r="14" spans="1:17" ht="15" customHeight="1" x14ac:dyDescent="0.2">
      <c r="A14" s="22" t="s">
        <v>11</v>
      </c>
      <c r="B14" s="25">
        <v>0.45419999999999999</v>
      </c>
      <c r="C14" s="25">
        <v>0.47870000000000001</v>
      </c>
      <c r="D14" s="25">
        <v>0.1908</v>
      </c>
      <c r="E14" s="25">
        <v>0.18559999999999999</v>
      </c>
      <c r="F14" s="25">
        <v>0.51949999999999996</v>
      </c>
      <c r="G14" s="25">
        <v>0.5524</v>
      </c>
      <c r="Q14" s="9"/>
    </row>
    <row r="15" spans="1:17" ht="15" customHeight="1" x14ac:dyDescent="0.2">
      <c r="A15" s="22" t="s">
        <v>12</v>
      </c>
      <c r="B15" s="25">
        <v>0.59799999999999998</v>
      </c>
      <c r="C15" s="25">
        <v>0.63190000000000002</v>
      </c>
      <c r="D15" s="25">
        <v>0.26429999999999998</v>
      </c>
      <c r="E15" s="25">
        <v>0.2339</v>
      </c>
      <c r="F15" s="25">
        <v>0.40679999999999999</v>
      </c>
      <c r="G15" s="25">
        <v>0.39939999999999998</v>
      </c>
      <c r="Q15" s="9"/>
    </row>
    <row r="16" spans="1:17" ht="15" customHeight="1" x14ac:dyDescent="0.2">
      <c r="A16" s="22" t="s">
        <v>13</v>
      </c>
      <c r="B16" s="25">
        <v>0.84</v>
      </c>
      <c r="C16" s="25">
        <v>0.96030000000000004</v>
      </c>
      <c r="D16" s="25">
        <v>0.23369999999999999</v>
      </c>
      <c r="E16" s="25">
        <v>0.2702</v>
      </c>
      <c r="F16" s="25">
        <v>0.30940000000000001</v>
      </c>
      <c r="G16" s="25">
        <v>0.29770000000000002</v>
      </c>
      <c r="Q16" s="9"/>
    </row>
    <row r="17" spans="1:17" ht="15" customHeight="1" x14ac:dyDescent="0.2">
      <c r="A17" s="22" t="s">
        <v>14</v>
      </c>
      <c r="B17" s="25">
        <v>1.4080999999999999</v>
      </c>
      <c r="C17" s="25">
        <v>1.4135</v>
      </c>
      <c r="D17" s="25">
        <v>0.31230000000000002</v>
      </c>
      <c r="E17" s="25">
        <v>0.32779999999999998</v>
      </c>
      <c r="F17" s="25">
        <v>0.55789999999999995</v>
      </c>
      <c r="G17" s="25">
        <v>0.58030000000000004</v>
      </c>
      <c r="Q17" s="9"/>
    </row>
    <row r="18" spans="1:17" ht="15" customHeight="1" x14ac:dyDescent="0.2">
      <c r="A18" s="22" t="s">
        <v>15</v>
      </c>
      <c r="B18" s="25">
        <v>0.27150000000000002</v>
      </c>
      <c r="C18" s="25">
        <v>0.54959999999999998</v>
      </c>
      <c r="D18" s="25">
        <v>0.27250000000000002</v>
      </c>
      <c r="E18" s="25">
        <v>0.3286</v>
      </c>
      <c r="F18" s="25">
        <v>0.51229999999999998</v>
      </c>
      <c r="G18" s="25">
        <v>0.47539999999999999</v>
      </c>
      <c r="Q18" s="9"/>
    </row>
    <row r="19" spans="1:17" ht="15" customHeight="1" x14ac:dyDescent="0.2">
      <c r="Q19" s="9"/>
    </row>
    <row r="20" spans="1:17" ht="15" customHeight="1" x14ac:dyDescent="0.2">
      <c r="A20" t="s">
        <v>16</v>
      </c>
      <c r="Q20" s="9"/>
    </row>
    <row r="21" spans="1:17" ht="15" customHeight="1" x14ac:dyDescent="0.2">
      <c r="A21" t="s">
        <v>3</v>
      </c>
    </row>
    <row r="22" spans="1:17" ht="15" customHeight="1" x14ac:dyDescent="0.2">
      <c r="A22" t="s">
        <v>6</v>
      </c>
    </row>
    <row r="23" spans="1:17" ht="15" customHeight="1" x14ac:dyDescent="0.2">
      <c r="A23" t="s">
        <v>3</v>
      </c>
    </row>
    <row r="24" spans="1:17" ht="15" customHeight="1" x14ac:dyDescent="0.2">
      <c r="A24" s="22" t="s">
        <v>7</v>
      </c>
      <c r="B24" s="23">
        <v>1</v>
      </c>
      <c r="C24" s="23">
        <v>2</v>
      </c>
      <c r="D24" s="23">
        <v>3</v>
      </c>
      <c r="E24" s="23">
        <v>4</v>
      </c>
      <c r="F24" s="23">
        <v>5</v>
      </c>
      <c r="G24" s="23">
        <v>6</v>
      </c>
      <c r="H24" s="1"/>
      <c r="I24" s="1"/>
      <c r="J24" s="1"/>
      <c r="K24" s="1"/>
      <c r="L24" s="1"/>
      <c r="M24" s="1"/>
    </row>
    <row r="25" spans="1:17" ht="15" customHeight="1" x14ac:dyDescent="0.2">
      <c r="A25" s="22" t="s">
        <v>8</v>
      </c>
      <c r="B25" s="25">
        <v>4.65E-2</v>
      </c>
      <c r="C25" s="25">
        <v>6.1800000000000001E-2</v>
      </c>
      <c r="D25" s="25">
        <v>4.48E-2</v>
      </c>
      <c r="E25" s="25">
        <v>4.5100000000000001E-2</v>
      </c>
      <c r="F25" s="25">
        <v>5.0999999999999997E-2</v>
      </c>
      <c r="G25" s="25">
        <v>4.7300000000000002E-2</v>
      </c>
    </row>
    <row r="26" spans="1:17" ht="15" customHeight="1" x14ac:dyDescent="0.2">
      <c r="A26" s="22" t="s">
        <v>9</v>
      </c>
      <c r="B26" s="25">
        <v>4.6800000000000001E-2</v>
      </c>
      <c r="C26" s="25">
        <v>4.7100000000000003E-2</v>
      </c>
      <c r="D26" s="25">
        <v>4.5499999999999999E-2</v>
      </c>
      <c r="E26" s="25">
        <v>4.5199999999999997E-2</v>
      </c>
      <c r="F26" s="25">
        <v>5.1299999999999998E-2</v>
      </c>
      <c r="G26" s="25">
        <v>4.99E-2</v>
      </c>
    </row>
    <row r="27" spans="1:17" ht="15" customHeight="1" x14ac:dyDescent="0.2">
      <c r="A27" s="22" t="s">
        <v>10</v>
      </c>
      <c r="B27" s="25">
        <v>4.6100000000000002E-2</v>
      </c>
      <c r="C27" s="25">
        <v>5.04E-2</v>
      </c>
      <c r="D27" s="25">
        <v>5.0200000000000002E-2</v>
      </c>
      <c r="E27" s="25">
        <v>4.9799999999999997E-2</v>
      </c>
      <c r="F27" s="25">
        <v>5.1400000000000001E-2</v>
      </c>
      <c r="G27" s="25">
        <v>5.0599999999999999E-2</v>
      </c>
      <c r="P27" s="9"/>
    </row>
    <row r="28" spans="1:17" ht="15" customHeight="1" x14ac:dyDescent="0.2">
      <c r="A28" s="22" t="s">
        <v>11</v>
      </c>
      <c r="B28" s="25">
        <v>4.6300000000000001E-2</v>
      </c>
      <c r="C28" s="25">
        <v>4.7500000000000001E-2</v>
      </c>
      <c r="D28" s="25">
        <v>4.36E-2</v>
      </c>
      <c r="E28" s="25">
        <v>4.3200000000000002E-2</v>
      </c>
      <c r="F28" s="25">
        <v>4.87E-2</v>
      </c>
      <c r="G28" s="25">
        <v>4.8000000000000001E-2</v>
      </c>
      <c r="P28" s="9"/>
    </row>
    <row r="29" spans="1:17" ht="15" customHeight="1" x14ac:dyDescent="0.2">
      <c r="A29" s="22" t="s">
        <v>12</v>
      </c>
      <c r="B29" s="25">
        <v>5.2699999999999997E-2</v>
      </c>
      <c r="C29" s="25">
        <v>5.0299999999999997E-2</v>
      </c>
      <c r="D29" s="25">
        <v>4.6899999999999997E-2</v>
      </c>
      <c r="E29" s="25">
        <v>4.9799999999999997E-2</v>
      </c>
      <c r="F29" s="25">
        <v>4.6199999999999998E-2</v>
      </c>
      <c r="G29" s="25">
        <v>4.6100000000000002E-2</v>
      </c>
      <c r="P29" s="9"/>
    </row>
    <row r="30" spans="1:17" ht="15" customHeight="1" x14ac:dyDescent="0.2">
      <c r="A30" s="22" t="s">
        <v>13</v>
      </c>
      <c r="B30" s="25">
        <v>5.2999999999999999E-2</v>
      </c>
      <c r="C30" s="25">
        <v>7.2300000000000003E-2</v>
      </c>
      <c r="D30" s="25">
        <v>4.65E-2</v>
      </c>
      <c r="E30" s="25">
        <v>5.4300000000000001E-2</v>
      </c>
      <c r="F30" s="25">
        <v>4.65E-2</v>
      </c>
      <c r="G30" s="25">
        <v>4.4699999999999997E-2</v>
      </c>
      <c r="P30" s="9"/>
    </row>
    <row r="31" spans="1:17" ht="15" customHeight="1" x14ac:dyDescent="0.2">
      <c r="A31" s="22" t="s">
        <v>14</v>
      </c>
      <c r="B31" s="25">
        <v>6.25E-2</v>
      </c>
      <c r="C31" s="25">
        <v>6.54E-2</v>
      </c>
      <c r="D31" s="25">
        <v>4.58E-2</v>
      </c>
      <c r="E31" s="25">
        <v>4.5699999999999998E-2</v>
      </c>
      <c r="F31" s="25">
        <v>5.21E-2</v>
      </c>
      <c r="G31" s="25">
        <v>4.8899999999999999E-2</v>
      </c>
      <c r="P31" s="9"/>
    </row>
    <row r="32" spans="1:17" ht="15" customHeight="1" x14ac:dyDescent="0.2">
      <c r="A32" s="22" t="s">
        <v>15</v>
      </c>
      <c r="B32" s="25">
        <v>4.8500000000000001E-2</v>
      </c>
      <c r="C32" s="25">
        <v>5.1499999999999997E-2</v>
      </c>
      <c r="D32" s="25">
        <v>4.6600000000000003E-2</v>
      </c>
      <c r="E32" s="25">
        <v>4.9799999999999997E-2</v>
      </c>
      <c r="F32" s="25">
        <v>4.9000000000000002E-2</v>
      </c>
      <c r="G32" s="25">
        <v>4.7600000000000003E-2</v>
      </c>
      <c r="P32" s="9"/>
    </row>
    <row r="33" spans="1:16" ht="15" customHeight="1" x14ac:dyDescent="0.2">
      <c r="P33" s="9"/>
    </row>
    <row r="34" spans="1:16" ht="15" customHeight="1" x14ac:dyDescent="0.2">
      <c r="A34" s="22" t="s">
        <v>17</v>
      </c>
      <c r="B34" s="23">
        <v>1</v>
      </c>
      <c r="C34" s="23">
        <v>2</v>
      </c>
      <c r="D34" s="23">
        <v>3</v>
      </c>
      <c r="E34" s="23">
        <v>4</v>
      </c>
      <c r="F34" s="23">
        <v>5</v>
      </c>
      <c r="G34" s="23">
        <v>6</v>
      </c>
      <c r="H34" s="1"/>
      <c r="I34" s="1"/>
      <c r="J34" s="1"/>
      <c r="K34" s="1"/>
      <c r="L34" s="1"/>
      <c r="M34" s="1"/>
      <c r="P34" s="9"/>
    </row>
    <row r="35" spans="1:16" ht="15" customHeight="1" x14ac:dyDescent="0.2">
      <c r="A35" s="22" t="s">
        <v>8</v>
      </c>
      <c r="B35" s="22" t="s">
        <v>204</v>
      </c>
      <c r="C35" s="22" t="s">
        <v>204</v>
      </c>
      <c r="D35" s="22" t="s">
        <v>205</v>
      </c>
      <c r="E35" s="22" t="s">
        <v>205</v>
      </c>
      <c r="F35" s="30" t="s">
        <v>231</v>
      </c>
      <c r="G35" s="30" t="s">
        <v>231</v>
      </c>
      <c r="P35" s="9"/>
    </row>
    <row r="36" spans="1:16" ht="15" customHeight="1" x14ac:dyDescent="0.2">
      <c r="A36" s="22" t="s">
        <v>9</v>
      </c>
      <c r="B36" s="22" t="s">
        <v>203</v>
      </c>
      <c r="C36" s="22" t="s">
        <v>203</v>
      </c>
      <c r="D36" s="22" t="s">
        <v>207</v>
      </c>
      <c r="E36" s="22" t="s">
        <v>207</v>
      </c>
      <c r="F36" s="22" t="s">
        <v>212</v>
      </c>
      <c r="G36" s="22" t="s">
        <v>212</v>
      </c>
    </row>
    <row r="37" spans="1:16" ht="15" customHeight="1" x14ac:dyDescent="0.2">
      <c r="A37" s="22" t="s">
        <v>10</v>
      </c>
      <c r="B37" s="22" t="s">
        <v>202</v>
      </c>
      <c r="C37" s="22" t="s">
        <v>202</v>
      </c>
      <c r="D37" s="22" t="s">
        <v>209</v>
      </c>
      <c r="E37" s="22" t="s">
        <v>209</v>
      </c>
      <c r="F37" s="22" t="s">
        <v>213</v>
      </c>
      <c r="G37" s="22" t="s">
        <v>213</v>
      </c>
    </row>
    <row r="38" spans="1:16" ht="15" customHeight="1" x14ac:dyDescent="0.2">
      <c r="A38" s="22" t="s">
        <v>11</v>
      </c>
      <c r="B38" s="22" t="s">
        <v>201</v>
      </c>
      <c r="C38" s="22" t="s">
        <v>201</v>
      </c>
      <c r="D38" s="22" t="s">
        <v>210</v>
      </c>
      <c r="E38" s="22" t="s">
        <v>210</v>
      </c>
      <c r="F38" s="22" t="s">
        <v>214</v>
      </c>
      <c r="G38" s="22" t="s">
        <v>214</v>
      </c>
    </row>
    <row r="39" spans="1:16" ht="12.75" x14ac:dyDescent="0.2">
      <c r="A39" s="22" t="s">
        <v>12</v>
      </c>
      <c r="B39" s="22" t="s">
        <v>200</v>
      </c>
      <c r="C39" s="22" t="s">
        <v>200</v>
      </c>
      <c r="D39" s="22" t="s">
        <v>211</v>
      </c>
      <c r="E39" s="22" t="s">
        <v>211</v>
      </c>
      <c r="F39" s="22" t="s">
        <v>206</v>
      </c>
      <c r="G39" s="22" t="s">
        <v>206</v>
      </c>
    </row>
    <row r="40" spans="1:16" ht="12.75" x14ac:dyDescent="0.2">
      <c r="A40" s="22" t="s">
        <v>13</v>
      </c>
      <c r="B40" s="22" t="s">
        <v>199</v>
      </c>
      <c r="C40" s="22" t="s">
        <v>199</v>
      </c>
      <c r="D40" s="30" t="s">
        <v>232</v>
      </c>
      <c r="E40" s="30" t="s">
        <v>232</v>
      </c>
      <c r="F40" s="22" t="s">
        <v>208</v>
      </c>
      <c r="G40" s="22" t="s">
        <v>208</v>
      </c>
    </row>
    <row r="41" spans="1:16" ht="12.75" x14ac:dyDescent="0.2">
      <c r="A41" s="22" t="s">
        <v>14</v>
      </c>
      <c r="B41" s="22" t="s">
        <v>198</v>
      </c>
      <c r="C41" s="22" t="s">
        <v>198</v>
      </c>
      <c r="D41" s="30" t="s">
        <v>233</v>
      </c>
      <c r="E41" s="30" t="s">
        <v>233</v>
      </c>
      <c r="F41" s="30" t="s">
        <v>234</v>
      </c>
      <c r="G41" s="30" t="s">
        <v>234</v>
      </c>
    </row>
    <row r="42" spans="1:16" ht="12.75" x14ac:dyDescent="0.2">
      <c r="A42" s="22" t="s">
        <v>15</v>
      </c>
      <c r="B42" s="31" t="s">
        <v>53</v>
      </c>
      <c r="C42" s="32" t="s">
        <v>235</v>
      </c>
      <c r="D42" s="32" t="s">
        <v>236</v>
      </c>
      <c r="E42" s="32" t="s">
        <v>236</v>
      </c>
      <c r="F42" s="32" t="s">
        <v>237</v>
      </c>
      <c r="G42" s="32" t="s">
        <v>238</v>
      </c>
    </row>
    <row r="44" spans="1:16" ht="12.75" x14ac:dyDescent="0.2">
      <c r="A44" t="s">
        <v>59</v>
      </c>
    </row>
    <row r="45" spans="1:16" ht="15" customHeight="1" x14ac:dyDescent="0.2">
      <c r="E45" s="50" t="s">
        <v>273</v>
      </c>
      <c r="F45" s="50"/>
      <c r="G45" s="46"/>
      <c r="H45" s="46"/>
      <c r="I45" s="46"/>
    </row>
  </sheetData>
  <mergeCells count="1">
    <mergeCell ref="E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tandard Curve 4_08"/>
  <dimension ref="A1:S103"/>
  <sheetViews>
    <sheetView topLeftCell="E65" workbookViewId="0">
      <selection activeCell="M100" sqref="M100:M103"/>
    </sheetView>
  </sheetViews>
  <sheetFormatPr defaultColWidth="9.140625" defaultRowHeight="15" customHeight="1" x14ac:dyDescent="0.2"/>
  <cols>
    <col min="1" max="1" width="10.140625" customWidth="1"/>
    <col min="2" max="2" width="18.28515625" customWidth="1"/>
    <col min="3" max="7" width="21.28515625" customWidth="1"/>
    <col min="8" max="8" width="9.140625" customWidth="1"/>
    <col min="9" max="9" width="4.85546875" customWidth="1"/>
    <col min="10" max="10" width="18" customWidth="1"/>
    <col min="11" max="13" width="14.85546875" customWidth="1"/>
    <col min="16" max="16" width="13.5703125" customWidth="1"/>
    <col min="17" max="17" width="15.85546875" customWidth="1"/>
    <col min="18" max="19" width="17.425781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96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63</v>
      </c>
    </row>
    <row r="11" spans="1:1" ht="15" customHeight="1" x14ac:dyDescent="0.2">
      <c r="A11" t="s">
        <v>64</v>
      </c>
    </row>
    <row r="12" spans="1:1" ht="15" customHeight="1" x14ac:dyDescent="0.2">
      <c r="A12" t="s">
        <v>3</v>
      </c>
    </row>
    <row r="14" spans="1:1" ht="15" customHeight="1" x14ac:dyDescent="0.2">
      <c r="A14" t="s">
        <v>3</v>
      </c>
    </row>
    <row r="35" spans="1:7" ht="15" customHeight="1" x14ac:dyDescent="0.2">
      <c r="A35" t="s">
        <v>97</v>
      </c>
    </row>
    <row r="37" spans="1:7" ht="15" customHeight="1" x14ac:dyDescent="0.2">
      <c r="A37" t="s">
        <v>65</v>
      </c>
    </row>
    <row r="38" spans="1:7" ht="15" customHeight="1" x14ac:dyDescent="0.2">
      <c r="A38" t="s">
        <v>66</v>
      </c>
    </row>
    <row r="39" spans="1:7" ht="12.75" x14ac:dyDescent="0.2">
      <c r="A39" t="s">
        <v>67</v>
      </c>
      <c r="B39" s="8">
        <v>9.7674499999999997E-2</v>
      </c>
    </row>
    <row r="40" spans="1:7" ht="12.75" x14ac:dyDescent="0.2">
      <c r="A40" t="s">
        <v>68</v>
      </c>
      <c r="B40" s="3">
        <v>1.27583</v>
      </c>
    </row>
    <row r="41" spans="1:7" ht="12.75" x14ac:dyDescent="0.2">
      <c r="A41" t="s">
        <v>69</v>
      </c>
      <c r="B41" s="10">
        <v>2959.2</v>
      </c>
    </row>
    <row r="42" spans="1:7" ht="12.75" x14ac:dyDescent="0.2">
      <c r="A42" t="s">
        <v>70</v>
      </c>
      <c r="B42" s="3">
        <v>3.37161</v>
      </c>
    </row>
    <row r="43" spans="1:7" ht="12.75" x14ac:dyDescent="0.2"/>
    <row r="44" spans="1:7" ht="12.75" x14ac:dyDescent="0.2">
      <c r="A44" t="s">
        <v>71</v>
      </c>
    </row>
    <row r="45" spans="1:7" ht="12.75" x14ac:dyDescent="0.2">
      <c r="A45" t="s">
        <v>3</v>
      </c>
    </row>
    <row r="46" spans="1:7" ht="12.75" x14ac:dyDescent="0.2">
      <c r="A46" t="s">
        <v>72</v>
      </c>
      <c r="B46" t="s">
        <v>17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</row>
    <row r="47" spans="1:7" ht="12.75" x14ac:dyDescent="0.2">
      <c r="A47" t="s">
        <v>78</v>
      </c>
      <c r="B47" t="s">
        <v>48</v>
      </c>
      <c r="C47">
        <v>1600</v>
      </c>
      <c r="D47" s="3">
        <v>1.12385</v>
      </c>
      <c r="E47" s="2">
        <v>0.15787999999999999</v>
      </c>
      <c r="F47" s="3">
        <v>1.12355</v>
      </c>
      <c r="G47" s="5">
        <v>3.05311E-4</v>
      </c>
    </row>
    <row r="48" spans="1:7" ht="12.75" x14ac:dyDescent="0.2">
      <c r="A48" t="s">
        <v>79</v>
      </c>
      <c r="B48" t="s">
        <v>48</v>
      </c>
      <c r="C48">
        <v>1600</v>
      </c>
      <c r="D48" s="3">
        <v>1.1226</v>
      </c>
      <c r="F48" s="3">
        <v>1.12355</v>
      </c>
      <c r="G48" s="5">
        <v>-9.49339E-4</v>
      </c>
    </row>
    <row r="49" spans="1:7" ht="12.75" x14ac:dyDescent="0.2">
      <c r="A49" t="s">
        <v>80</v>
      </c>
      <c r="B49" t="s">
        <v>48</v>
      </c>
      <c r="C49">
        <v>1600</v>
      </c>
      <c r="D49" s="3">
        <v>1.1251100000000001</v>
      </c>
      <c r="F49" s="3">
        <v>1.12355</v>
      </c>
      <c r="G49" s="6">
        <v>1.55996E-3</v>
      </c>
    </row>
    <row r="50" spans="1:7" ht="12.75" x14ac:dyDescent="0.2">
      <c r="A50" t="s">
        <v>78</v>
      </c>
      <c r="B50" t="s">
        <v>43</v>
      </c>
      <c r="C50" s="7">
        <v>800</v>
      </c>
      <c r="D50" s="2">
        <v>0.61452700000000005</v>
      </c>
      <c r="E50" s="9">
        <v>11.6053</v>
      </c>
      <c r="F50" s="2">
        <v>0.616842</v>
      </c>
      <c r="G50" s="6">
        <v>-2.3153599999999998E-3</v>
      </c>
    </row>
    <row r="51" spans="1:7" ht="12.75" x14ac:dyDescent="0.2">
      <c r="A51" t="s">
        <v>81</v>
      </c>
      <c r="B51" t="s">
        <v>43</v>
      </c>
      <c r="C51" s="7">
        <v>800</v>
      </c>
      <c r="D51" s="2">
        <v>0.56409799999999999</v>
      </c>
      <c r="F51" s="2">
        <v>0.616842</v>
      </c>
      <c r="G51" s="8">
        <v>-5.2744699999999999E-2</v>
      </c>
    </row>
    <row r="52" spans="1:7" ht="12.75" x14ac:dyDescent="0.2">
      <c r="A52" t="s">
        <v>82</v>
      </c>
      <c r="B52" t="s">
        <v>43</v>
      </c>
      <c r="C52" s="7">
        <v>800</v>
      </c>
      <c r="D52" s="2">
        <v>0.66495599999999999</v>
      </c>
      <c r="F52" s="2">
        <v>0.616842</v>
      </c>
      <c r="G52" s="8">
        <v>4.8113900000000001E-2</v>
      </c>
    </row>
    <row r="53" spans="1:7" ht="12.75" x14ac:dyDescent="0.2">
      <c r="A53" t="s">
        <v>78</v>
      </c>
      <c r="B53" t="s">
        <v>38</v>
      </c>
      <c r="C53" s="7">
        <v>400</v>
      </c>
      <c r="D53" s="2">
        <v>0.34050000000000002</v>
      </c>
      <c r="E53" s="3">
        <v>7.5511900000000001</v>
      </c>
      <c r="F53" s="2">
        <v>0.334092</v>
      </c>
      <c r="G53" s="6">
        <v>6.4081399999999997E-3</v>
      </c>
    </row>
    <row r="54" spans="1:7" ht="12.75" x14ac:dyDescent="0.2">
      <c r="A54" t="s">
        <v>83</v>
      </c>
      <c r="B54" t="s">
        <v>38</v>
      </c>
      <c r="C54" s="7">
        <v>400</v>
      </c>
      <c r="D54" s="2">
        <v>0.32231900000000002</v>
      </c>
      <c r="F54" s="2">
        <v>0.334092</v>
      </c>
      <c r="G54" s="8">
        <v>-1.1772899999999999E-2</v>
      </c>
    </row>
    <row r="55" spans="1:7" ht="12.75" x14ac:dyDescent="0.2">
      <c r="A55" t="s">
        <v>84</v>
      </c>
      <c r="B55" t="s">
        <v>38</v>
      </c>
      <c r="C55" s="7">
        <v>400</v>
      </c>
      <c r="D55" s="2">
        <v>0.35868100000000003</v>
      </c>
      <c r="F55" s="2">
        <v>0.334092</v>
      </c>
      <c r="G55" s="8">
        <v>2.4589099999999999E-2</v>
      </c>
    </row>
    <row r="56" spans="1:7" ht="12.75" x14ac:dyDescent="0.2">
      <c r="A56" t="s">
        <v>78</v>
      </c>
      <c r="B56" t="s">
        <v>33</v>
      </c>
      <c r="C56" s="7">
        <v>200</v>
      </c>
      <c r="D56" s="2">
        <v>0.19654199999999999</v>
      </c>
      <c r="E56" s="3">
        <v>8.3789999999999996</v>
      </c>
      <c r="F56" s="2">
        <v>0.19963400000000001</v>
      </c>
      <c r="G56" s="6">
        <v>-3.0924500000000001E-3</v>
      </c>
    </row>
    <row r="57" spans="1:7" ht="12.75" x14ac:dyDescent="0.2">
      <c r="A57" t="s">
        <v>85</v>
      </c>
      <c r="B57" t="s">
        <v>33</v>
      </c>
      <c r="C57" s="7">
        <v>200</v>
      </c>
      <c r="D57" s="2">
        <v>0.18489700000000001</v>
      </c>
      <c r="F57" s="2">
        <v>0.19963400000000001</v>
      </c>
      <c r="G57" s="8">
        <v>-1.4737200000000001E-2</v>
      </c>
    </row>
    <row r="58" spans="1:7" ht="12.75" x14ac:dyDescent="0.2">
      <c r="A58" t="s">
        <v>86</v>
      </c>
      <c r="B58" t="s">
        <v>33</v>
      </c>
      <c r="C58" s="7">
        <v>200</v>
      </c>
      <c r="D58" s="2">
        <v>0.20818700000000001</v>
      </c>
      <c r="F58" s="2">
        <v>0.19963400000000001</v>
      </c>
      <c r="G58" s="6">
        <v>8.5523500000000002E-3</v>
      </c>
    </row>
    <row r="59" spans="1:7" ht="12.75" x14ac:dyDescent="0.2">
      <c r="A59" t="s">
        <v>78</v>
      </c>
      <c r="B59" t="s">
        <v>28</v>
      </c>
      <c r="C59" s="7">
        <v>100</v>
      </c>
      <c r="D59" s="2">
        <v>0.123028</v>
      </c>
      <c r="E59" s="2">
        <v>0.63584700000000005</v>
      </c>
      <c r="F59" s="2">
        <v>0.140567</v>
      </c>
      <c r="G59" s="8">
        <v>-1.7538499999999999E-2</v>
      </c>
    </row>
    <row r="60" spans="1:7" ht="12.75" x14ac:dyDescent="0.2">
      <c r="A60" t="s">
        <v>87</v>
      </c>
      <c r="B60" t="s">
        <v>28</v>
      </c>
      <c r="C60" s="7">
        <v>100</v>
      </c>
      <c r="D60" s="2">
        <v>0.122475</v>
      </c>
      <c r="F60" s="2">
        <v>0.140567</v>
      </c>
      <c r="G60" s="8">
        <v>-1.8091599999999999E-2</v>
      </c>
    </row>
    <row r="61" spans="1:7" ht="12.75" x14ac:dyDescent="0.2">
      <c r="A61" t="s">
        <v>88</v>
      </c>
      <c r="B61" t="s">
        <v>28</v>
      </c>
      <c r="C61" s="7">
        <v>100</v>
      </c>
      <c r="D61" s="2">
        <v>0.123582</v>
      </c>
      <c r="F61" s="2">
        <v>0.140567</v>
      </c>
      <c r="G61" s="8">
        <v>-1.6985299999999998E-2</v>
      </c>
    </row>
    <row r="62" spans="1:7" ht="12.75" x14ac:dyDescent="0.2">
      <c r="A62" t="s">
        <v>78</v>
      </c>
      <c r="B62" t="s">
        <v>23</v>
      </c>
      <c r="C62" s="9">
        <v>50</v>
      </c>
      <c r="D62" s="2">
        <v>0.146263</v>
      </c>
      <c r="E62" s="3">
        <v>4.6843700000000004</v>
      </c>
      <c r="F62" s="2">
        <v>0.115526</v>
      </c>
      <c r="G62" s="8">
        <v>3.0737400000000002E-2</v>
      </c>
    </row>
    <row r="63" spans="1:7" ht="12.75" x14ac:dyDescent="0.2">
      <c r="A63" t="s">
        <v>89</v>
      </c>
      <c r="B63" t="s">
        <v>23</v>
      </c>
      <c r="C63" s="9">
        <v>50</v>
      </c>
      <c r="D63" s="2">
        <v>0.14141899999999999</v>
      </c>
      <c r="F63" s="2">
        <v>0.115526</v>
      </c>
      <c r="G63" s="8">
        <v>2.5892700000000001E-2</v>
      </c>
    </row>
    <row r="64" spans="1:7" ht="12.75" x14ac:dyDescent="0.2">
      <c r="A64" t="s">
        <v>90</v>
      </c>
      <c r="B64" t="s">
        <v>23</v>
      </c>
      <c r="C64" s="9">
        <v>50</v>
      </c>
      <c r="D64" s="2">
        <v>0.15110799999999999</v>
      </c>
      <c r="F64" s="2">
        <v>0.115526</v>
      </c>
      <c r="G64" s="8">
        <v>3.5582200000000001E-2</v>
      </c>
    </row>
    <row r="65" spans="1:13" ht="12.75" x14ac:dyDescent="0.2">
      <c r="A65" t="s">
        <v>78</v>
      </c>
      <c r="B65" t="s">
        <v>18</v>
      </c>
      <c r="C65" s="9">
        <v>25</v>
      </c>
      <c r="D65" s="8">
        <v>9.0565999999999994E-2</v>
      </c>
      <c r="E65" s="3">
        <v>5.4033600000000002</v>
      </c>
      <c r="F65" s="2">
        <v>0.105071</v>
      </c>
      <c r="G65" s="8">
        <v>-1.4504599999999999E-2</v>
      </c>
    </row>
    <row r="66" spans="1:13" ht="12.75" x14ac:dyDescent="0.2">
      <c r="A66" t="s">
        <v>91</v>
      </c>
      <c r="B66" t="s">
        <v>18</v>
      </c>
      <c r="C66" s="9">
        <v>25</v>
      </c>
      <c r="D66" s="8">
        <v>8.7105699999999994E-2</v>
      </c>
      <c r="F66" s="2">
        <v>0.105071</v>
      </c>
      <c r="G66" s="8">
        <v>-1.7964899999999999E-2</v>
      </c>
    </row>
    <row r="67" spans="1:13" ht="12.75" x14ac:dyDescent="0.2">
      <c r="A67" t="s">
        <v>92</v>
      </c>
      <c r="B67" t="s">
        <v>18</v>
      </c>
      <c r="C67" s="9">
        <v>25</v>
      </c>
      <c r="D67" s="8">
        <v>9.4026299999999993E-2</v>
      </c>
      <c r="F67" s="2">
        <v>0.105071</v>
      </c>
      <c r="G67" s="8">
        <v>-1.10443E-2</v>
      </c>
    </row>
    <row r="68" spans="1:13" ht="12.75" x14ac:dyDescent="0.2"/>
    <row r="69" spans="1:13" ht="12.75" x14ac:dyDescent="0.2"/>
    <row r="70" spans="1:13" ht="12.75" x14ac:dyDescent="0.2">
      <c r="A70" t="s">
        <v>6</v>
      </c>
    </row>
    <row r="71" spans="1:13" ht="12.75" x14ac:dyDescent="0.2">
      <c r="A71" t="s">
        <v>3</v>
      </c>
    </row>
    <row r="72" spans="1:13" ht="12.75" x14ac:dyDescent="0.2">
      <c r="A72" s="22" t="s">
        <v>93</v>
      </c>
      <c r="B72" s="23">
        <v>1</v>
      </c>
      <c r="C72" s="23">
        <v>2</v>
      </c>
      <c r="D72" s="23">
        <v>3</v>
      </c>
      <c r="E72" s="23">
        <v>4</v>
      </c>
      <c r="F72" s="23">
        <v>5</v>
      </c>
      <c r="G72" s="23">
        <v>6</v>
      </c>
      <c r="K72" s="35"/>
    </row>
    <row r="73" spans="1:13" ht="12.75" x14ac:dyDescent="0.2">
      <c r="A73" s="22" t="s">
        <v>8</v>
      </c>
      <c r="B73" s="26">
        <v>8.7105699999999994E-2</v>
      </c>
      <c r="C73" s="26">
        <v>9.4026299999999993E-2</v>
      </c>
      <c r="D73" s="27">
        <v>-8.1051999999999999E-3</v>
      </c>
      <c r="E73" s="27">
        <v>2.7095000000000001E-3</v>
      </c>
      <c r="F73" s="28">
        <v>0.18054500000000001</v>
      </c>
      <c r="G73" s="28">
        <v>0.18079100000000001</v>
      </c>
      <c r="I73" s="1"/>
      <c r="J73" s="33"/>
      <c r="K73" s="61" t="s">
        <v>215</v>
      </c>
      <c r="L73" s="61"/>
      <c r="M73" s="33"/>
    </row>
    <row r="74" spans="1:13" ht="12.75" x14ac:dyDescent="0.2">
      <c r="A74" s="22" t="s">
        <v>9</v>
      </c>
      <c r="B74" s="28">
        <v>0.14141899999999999</v>
      </c>
      <c r="C74" s="28">
        <v>0.15110799999999999</v>
      </c>
      <c r="D74" s="26">
        <v>2.7833900000000002E-2</v>
      </c>
      <c r="E74" s="26">
        <v>5.76027E-2</v>
      </c>
      <c r="F74" s="28">
        <v>0.358319</v>
      </c>
      <c r="G74" s="28">
        <v>0.362512</v>
      </c>
      <c r="J74" s="51" t="s">
        <v>270</v>
      </c>
      <c r="K74" s="51"/>
      <c r="L74" s="51"/>
      <c r="M74" s="51"/>
    </row>
    <row r="75" spans="1:13" ht="12.75" x14ac:dyDescent="0.2">
      <c r="A75" s="22" t="s">
        <v>10</v>
      </c>
      <c r="B75" s="28">
        <v>0.122475</v>
      </c>
      <c r="C75" s="28">
        <v>0.123582</v>
      </c>
      <c r="D75" s="26">
        <v>4.5915600000000001E-2</v>
      </c>
      <c r="E75" s="26">
        <v>3.4558999999999999E-2</v>
      </c>
      <c r="F75" s="28">
        <v>0.28903600000000002</v>
      </c>
      <c r="G75" s="28">
        <v>0.316938</v>
      </c>
      <c r="J75" s="30" t="s">
        <v>216</v>
      </c>
      <c r="K75" s="37" t="s">
        <v>217</v>
      </c>
      <c r="L75" s="30" t="s">
        <v>218</v>
      </c>
      <c r="M75" s="30" t="s">
        <v>219</v>
      </c>
    </row>
    <row r="76" spans="1:13" ht="12.75" x14ac:dyDescent="0.2">
      <c r="A76" s="22" t="s">
        <v>11</v>
      </c>
      <c r="B76" s="28">
        <v>0.18489700000000001</v>
      </c>
      <c r="C76" s="28">
        <v>0.20818700000000001</v>
      </c>
      <c r="D76" s="26">
        <v>-7.5799900000000003E-2</v>
      </c>
      <c r="E76" s="26">
        <v>-8.05366E-2</v>
      </c>
      <c r="F76" s="28">
        <v>0.24778800000000001</v>
      </c>
      <c r="G76" s="28">
        <v>0.28134199999999998</v>
      </c>
      <c r="J76" s="30">
        <v>1</v>
      </c>
      <c r="K76" s="22" t="s">
        <v>94</v>
      </c>
      <c r="L76" s="22" t="s">
        <v>94</v>
      </c>
      <c r="M76" s="30"/>
    </row>
    <row r="77" spans="1:13" ht="12.75" x14ac:dyDescent="0.2">
      <c r="A77" s="22" t="s">
        <v>12</v>
      </c>
      <c r="B77" s="28">
        <v>0.32231900000000002</v>
      </c>
      <c r="C77" s="28">
        <v>0.35868100000000003</v>
      </c>
      <c r="D77" s="27">
        <v>-5.5710999999999998E-3</v>
      </c>
      <c r="E77" s="26">
        <v>-3.88639E-2</v>
      </c>
      <c r="F77" s="28">
        <v>0.13761899999999999</v>
      </c>
      <c r="G77" s="28">
        <v>0.130328</v>
      </c>
      <c r="J77" s="30">
        <v>2</v>
      </c>
      <c r="K77" s="22" t="s">
        <v>94</v>
      </c>
      <c r="L77" s="22" t="s">
        <v>94</v>
      </c>
      <c r="M77" s="30"/>
    </row>
    <row r="78" spans="1:13" ht="12.75" x14ac:dyDescent="0.2">
      <c r="A78" s="22" t="s">
        <v>13</v>
      </c>
      <c r="B78" s="28">
        <v>0.56409799999999999</v>
      </c>
      <c r="C78" s="28">
        <v>0.66495599999999999</v>
      </c>
      <c r="D78" s="26">
        <v>-3.5739199999999999E-2</v>
      </c>
      <c r="E78" s="27">
        <v>-7.0714000000000003E-3</v>
      </c>
      <c r="F78" s="26">
        <v>3.9850299999999998E-2</v>
      </c>
      <c r="G78" s="26">
        <v>3.0023000000000001E-2</v>
      </c>
      <c r="J78" s="30">
        <v>4</v>
      </c>
      <c r="K78" s="22" t="s">
        <v>94</v>
      </c>
      <c r="L78" s="22" t="s">
        <v>94</v>
      </c>
      <c r="M78" s="30"/>
    </row>
    <row r="79" spans="1:13" ht="12.75" x14ac:dyDescent="0.2">
      <c r="A79" s="22" t="s">
        <v>14</v>
      </c>
      <c r="B79" s="29">
        <v>1.1226</v>
      </c>
      <c r="C79" s="29">
        <v>1.1251100000000001</v>
      </c>
      <c r="D79" s="26">
        <v>4.3551899999999998E-2</v>
      </c>
      <c r="E79" s="26">
        <v>5.9114100000000003E-2</v>
      </c>
      <c r="F79" s="28">
        <v>0.28279599999999999</v>
      </c>
      <c r="G79" s="28">
        <v>0.308417</v>
      </c>
      <c r="J79" s="30">
        <v>16</v>
      </c>
      <c r="K79" s="22" t="s">
        <v>94</v>
      </c>
      <c r="L79" s="22" t="s">
        <v>94</v>
      </c>
      <c r="M79" s="30"/>
    </row>
    <row r="80" spans="1:13" ht="12.75" x14ac:dyDescent="0.2">
      <c r="A80" s="22" t="s">
        <v>15</v>
      </c>
      <c r="B80" s="22"/>
      <c r="C80" s="28">
        <v>0.27504099999999998</v>
      </c>
      <c r="D80" s="27">
        <v>2.9458000000000002E-3</v>
      </c>
      <c r="E80" s="26">
        <v>5.5791E-2</v>
      </c>
      <c r="F80" s="28">
        <v>0.24032400000000001</v>
      </c>
      <c r="G80" s="28">
        <v>0.20480300000000001</v>
      </c>
      <c r="J80" s="30">
        <v>64</v>
      </c>
      <c r="K80" s="22" t="s">
        <v>94</v>
      </c>
      <c r="L80" s="22" t="s">
        <v>94</v>
      </c>
      <c r="M80" s="30"/>
    </row>
    <row r="81" spans="1:19" ht="12.75" x14ac:dyDescent="0.2">
      <c r="J81" s="33"/>
      <c r="K81" s="36"/>
      <c r="L81" s="33"/>
      <c r="M81" s="33"/>
    </row>
    <row r="82" spans="1:19" ht="12.75" x14ac:dyDescent="0.2">
      <c r="A82" s="22" t="s">
        <v>73</v>
      </c>
      <c r="B82" s="23">
        <v>1</v>
      </c>
      <c r="C82" s="23">
        <v>2</v>
      </c>
      <c r="D82" s="23">
        <v>3</v>
      </c>
      <c r="E82" s="23">
        <v>4</v>
      </c>
      <c r="F82" s="23">
        <v>5</v>
      </c>
      <c r="G82" s="23">
        <v>6</v>
      </c>
      <c r="J82" s="51" t="s">
        <v>271</v>
      </c>
      <c r="K82" s="51"/>
      <c r="L82" s="51"/>
      <c r="M82" s="51"/>
    </row>
    <row r="83" spans="1:19" ht="12.75" x14ac:dyDescent="0.2">
      <c r="A83" s="22" t="s">
        <v>8</v>
      </c>
      <c r="B83" s="22" t="s">
        <v>94</v>
      </c>
      <c r="C83" s="22" t="s">
        <v>94</v>
      </c>
      <c r="D83" s="22" t="s">
        <v>94</v>
      </c>
      <c r="E83" s="22" t="s">
        <v>94</v>
      </c>
      <c r="F83" s="24">
        <v>169.209</v>
      </c>
      <c r="G83" s="24">
        <v>169.61199999999999</v>
      </c>
      <c r="I83" s="1"/>
      <c r="J83" s="30"/>
      <c r="K83" s="37" t="s">
        <v>220</v>
      </c>
      <c r="L83" s="30" t="s">
        <v>221</v>
      </c>
      <c r="M83" s="30" t="s">
        <v>219</v>
      </c>
      <c r="P83" s="51" t="s">
        <v>281</v>
      </c>
      <c r="Q83" s="51"/>
      <c r="R83" s="51"/>
      <c r="S83" s="51"/>
    </row>
    <row r="84" spans="1:19" ht="12.75" x14ac:dyDescent="0.2">
      <c r="A84" s="22" t="s">
        <v>9</v>
      </c>
      <c r="B84" s="24">
        <v>101.574</v>
      </c>
      <c r="C84" s="24">
        <v>119.101</v>
      </c>
      <c r="D84" s="22" t="s">
        <v>94</v>
      </c>
      <c r="E84" s="22" t="s">
        <v>94</v>
      </c>
      <c r="F84" s="24">
        <v>434.50400000000002</v>
      </c>
      <c r="G84" s="24">
        <v>440.45400000000001</v>
      </c>
      <c r="J84" s="30" t="s">
        <v>223</v>
      </c>
      <c r="K84" s="37">
        <v>192</v>
      </c>
      <c r="L84" s="22" t="s">
        <v>94</v>
      </c>
      <c r="M84" s="30" t="e">
        <f>(L84/K84)*100</f>
        <v>#VALUE!</v>
      </c>
      <c r="P84" s="47" t="s">
        <v>277</v>
      </c>
      <c r="Q84" s="47" t="s">
        <v>278</v>
      </c>
      <c r="R84" s="48" t="s">
        <v>279</v>
      </c>
      <c r="S84" s="48" t="s">
        <v>282</v>
      </c>
    </row>
    <row r="85" spans="1:19" ht="12.75" x14ac:dyDescent="0.2">
      <c r="A85" s="22" t="s">
        <v>10</v>
      </c>
      <c r="B85" s="25">
        <v>64.806600000000003</v>
      </c>
      <c r="C85" s="25">
        <v>67.079700000000003</v>
      </c>
      <c r="D85" s="22" t="s">
        <v>94</v>
      </c>
      <c r="E85" s="22" t="s">
        <v>94</v>
      </c>
      <c r="F85" s="24">
        <v>335.02300000000002</v>
      </c>
      <c r="G85" s="24">
        <v>375.40699999999998</v>
      </c>
      <c r="J85" s="30" t="s">
        <v>224</v>
      </c>
      <c r="K85" s="37">
        <v>192</v>
      </c>
      <c r="L85" s="22" t="s">
        <v>94</v>
      </c>
      <c r="M85" s="30" t="e">
        <f t="shared" ref="M85:M87" si="0">(L85/K85)*100</f>
        <v>#VALUE!</v>
      </c>
      <c r="P85" s="47">
        <v>210</v>
      </c>
      <c r="Q85" s="47">
        <v>30</v>
      </c>
      <c r="R85" s="47">
        <v>1600</v>
      </c>
      <c r="S85" s="47">
        <v>200</v>
      </c>
    </row>
    <row r="86" spans="1:19" ht="12.75" x14ac:dyDescent="0.2">
      <c r="A86" s="22" t="s">
        <v>11</v>
      </c>
      <c r="B86" s="24">
        <v>176.32300000000001</v>
      </c>
      <c r="C86" s="24">
        <v>213.48500000000001</v>
      </c>
      <c r="D86" s="22" t="s">
        <v>94</v>
      </c>
      <c r="E86" s="22" t="s">
        <v>94</v>
      </c>
      <c r="F86" s="24">
        <v>274.10000000000002</v>
      </c>
      <c r="G86" s="24">
        <v>323.78500000000003</v>
      </c>
      <c r="J86" s="30" t="s">
        <v>225</v>
      </c>
      <c r="K86" s="37">
        <v>192</v>
      </c>
      <c r="L86" s="22" t="s">
        <v>94</v>
      </c>
      <c r="M86" s="30" t="e">
        <f t="shared" si="0"/>
        <v>#VALUE!</v>
      </c>
    </row>
    <row r="87" spans="1:19" ht="12.75" x14ac:dyDescent="0.2">
      <c r="A87" s="22" t="s">
        <v>12</v>
      </c>
      <c r="B87" s="24">
        <v>383.13799999999998</v>
      </c>
      <c r="C87" s="24">
        <v>435.01900000000001</v>
      </c>
      <c r="D87" s="22" t="s">
        <v>94</v>
      </c>
      <c r="E87" s="22" t="s">
        <v>94</v>
      </c>
      <c r="F87" s="25">
        <v>94.503900000000002</v>
      </c>
      <c r="G87" s="25">
        <v>80.552099999999996</v>
      </c>
      <c r="J87" s="30" t="s">
        <v>226</v>
      </c>
      <c r="K87" s="37">
        <v>192</v>
      </c>
      <c r="L87" s="30">
        <v>169.41050000000001</v>
      </c>
      <c r="M87" s="30">
        <f t="shared" si="0"/>
        <v>88.234635416666677</v>
      </c>
    </row>
    <row r="88" spans="1:19" ht="12.75" x14ac:dyDescent="0.2">
      <c r="A88" s="22" t="s">
        <v>13</v>
      </c>
      <c r="B88" s="24">
        <v>724.71199999999999</v>
      </c>
      <c r="C88" s="24">
        <v>869.476</v>
      </c>
      <c r="D88" s="22" t="s">
        <v>94</v>
      </c>
      <c r="E88" s="22" t="s">
        <v>94</v>
      </c>
      <c r="F88" s="22" t="s">
        <v>94</v>
      </c>
      <c r="G88" s="22" t="s">
        <v>94</v>
      </c>
      <c r="P88" s="51" t="s">
        <v>280</v>
      </c>
      <c r="Q88" s="51"/>
      <c r="R88" s="51"/>
      <c r="S88" s="51"/>
    </row>
    <row r="89" spans="1:19" ht="12.75" x14ac:dyDescent="0.2">
      <c r="A89" s="22" t="s">
        <v>14</v>
      </c>
      <c r="B89" s="23">
        <v>1598.31</v>
      </c>
      <c r="C89" s="23">
        <v>1602.78</v>
      </c>
      <c r="D89" s="22" t="s">
        <v>94</v>
      </c>
      <c r="E89" s="22" t="s">
        <v>94</v>
      </c>
      <c r="F89" s="24">
        <v>325.91300000000001</v>
      </c>
      <c r="G89" s="24">
        <v>363.13</v>
      </c>
      <c r="J89" s="33"/>
      <c r="K89" s="38" t="s">
        <v>222</v>
      </c>
      <c r="L89" s="34"/>
      <c r="M89" s="33"/>
      <c r="P89" s="47" t="s">
        <v>277</v>
      </c>
      <c r="Q89" s="47" t="s">
        <v>278</v>
      </c>
      <c r="R89" s="48" t="s">
        <v>279</v>
      </c>
      <c r="S89" s="48" t="s">
        <v>282</v>
      </c>
    </row>
    <row r="90" spans="1:19" ht="12.75" x14ac:dyDescent="0.2">
      <c r="A90" s="22" t="s">
        <v>15</v>
      </c>
      <c r="B90" s="22"/>
      <c r="C90" s="24">
        <v>314.54300000000001</v>
      </c>
      <c r="D90" s="22" t="s">
        <v>94</v>
      </c>
      <c r="E90" s="22" t="s">
        <v>94</v>
      </c>
      <c r="F90" s="24">
        <v>262.86700000000002</v>
      </c>
      <c r="G90" s="24">
        <v>208.17</v>
      </c>
      <c r="J90" s="51" t="s">
        <v>270</v>
      </c>
      <c r="K90" s="51"/>
      <c r="L90" s="51"/>
      <c r="M90" s="51"/>
      <c r="P90" s="47">
        <v>220</v>
      </c>
      <c r="Q90" s="47">
        <v>30</v>
      </c>
      <c r="R90" s="47">
        <v>1600</v>
      </c>
      <c r="S90" s="47">
        <v>192</v>
      </c>
    </row>
    <row r="91" spans="1:19" ht="12.75" x14ac:dyDescent="0.2">
      <c r="J91" s="30" t="s">
        <v>216</v>
      </c>
      <c r="K91" s="37" t="s">
        <v>217</v>
      </c>
      <c r="L91" s="30" t="s">
        <v>218</v>
      </c>
      <c r="M91" s="30" t="s">
        <v>219</v>
      </c>
    </row>
    <row r="92" spans="1:19" ht="13.5" thickBot="1" x14ac:dyDescent="0.25">
      <c r="A92" s="22" t="s">
        <v>17</v>
      </c>
      <c r="B92" s="23">
        <v>1</v>
      </c>
      <c r="C92" s="23">
        <v>2</v>
      </c>
      <c r="D92" s="23">
        <v>3</v>
      </c>
      <c r="E92" s="23">
        <v>4</v>
      </c>
      <c r="F92" s="23">
        <v>5</v>
      </c>
      <c r="G92" s="23">
        <v>6</v>
      </c>
      <c r="J92" s="30">
        <v>1</v>
      </c>
      <c r="K92" s="37">
        <v>437.47900000000004</v>
      </c>
      <c r="L92" s="30">
        <f>(J92*K92)</f>
        <v>437.47900000000004</v>
      </c>
      <c r="M92" s="30"/>
    </row>
    <row r="93" spans="1:19" ht="12.75" customHeight="1" x14ac:dyDescent="0.2">
      <c r="A93" s="22" t="s">
        <v>8</v>
      </c>
      <c r="B93" s="22" t="s">
        <v>204</v>
      </c>
      <c r="C93" s="22" t="s">
        <v>204</v>
      </c>
      <c r="D93" s="22" t="s">
        <v>205</v>
      </c>
      <c r="E93" s="22" t="s">
        <v>205</v>
      </c>
      <c r="F93" s="30" t="s">
        <v>231</v>
      </c>
      <c r="G93" s="30" t="s">
        <v>231</v>
      </c>
      <c r="I93" s="1"/>
      <c r="J93" s="30">
        <v>2</v>
      </c>
      <c r="K93" s="37">
        <v>355.21500000000003</v>
      </c>
      <c r="L93" s="30">
        <f t="shared" ref="L93:L96" si="1">(J93*K93)</f>
        <v>710.43000000000006</v>
      </c>
      <c r="M93" s="49"/>
      <c r="N93" s="52" t="s">
        <v>283</v>
      </c>
      <c r="O93" s="53"/>
      <c r="P93" s="53"/>
      <c r="Q93" s="53"/>
      <c r="R93" s="54"/>
    </row>
    <row r="94" spans="1:19" ht="12.75" customHeight="1" x14ac:dyDescent="0.2">
      <c r="A94" s="22" t="s">
        <v>9</v>
      </c>
      <c r="B94" s="22" t="s">
        <v>203</v>
      </c>
      <c r="C94" s="22" t="s">
        <v>203</v>
      </c>
      <c r="D94" s="22" t="s">
        <v>207</v>
      </c>
      <c r="E94" s="22" t="s">
        <v>207</v>
      </c>
      <c r="F94" s="22" t="s">
        <v>212</v>
      </c>
      <c r="G94" s="22" t="s">
        <v>212</v>
      </c>
      <c r="J94" s="30">
        <v>4</v>
      </c>
      <c r="K94" s="37">
        <v>298.9425</v>
      </c>
      <c r="L94" s="30">
        <f t="shared" si="1"/>
        <v>1195.77</v>
      </c>
      <c r="M94" s="49"/>
      <c r="N94" s="55"/>
      <c r="O94" s="56"/>
      <c r="P94" s="56"/>
      <c r="Q94" s="56"/>
      <c r="R94" s="57"/>
    </row>
    <row r="95" spans="1:19" ht="13.5" customHeight="1" thickBot="1" x14ac:dyDescent="0.25">
      <c r="A95" s="22" t="s">
        <v>10</v>
      </c>
      <c r="B95" s="22" t="s">
        <v>202</v>
      </c>
      <c r="C95" s="22" t="s">
        <v>202</v>
      </c>
      <c r="D95" s="22" t="s">
        <v>209</v>
      </c>
      <c r="E95" s="22" t="s">
        <v>209</v>
      </c>
      <c r="F95" s="22" t="s">
        <v>213</v>
      </c>
      <c r="G95" s="22" t="s">
        <v>213</v>
      </c>
      <c r="J95" s="30">
        <v>16</v>
      </c>
      <c r="K95" s="37">
        <v>87.527999999999992</v>
      </c>
      <c r="L95" s="30">
        <f t="shared" si="1"/>
        <v>1400.4479999999999</v>
      </c>
      <c r="M95" s="49"/>
      <c r="N95" s="58"/>
      <c r="O95" s="59"/>
      <c r="P95" s="59"/>
      <c r="Q95" s="59"/>
      <c r="R95" s="60"/>
    </row>
    <row r="96" spans="1:19" ht="12.75" x14ac:dyDescent="0.2">
      <c r="A96" s="22" t="s">
        <v>11</v>
      </c>
      <c r="B96" s="22" t="s">
        <v>201</v>
      </c>
      <c r="C96" s="22" t="s">
        <v>201</v>
      </c>
      <c r="D96" s="22" t="s">
        <v>210</v>
      </c>
      <c r="E96" s="22" t="s">
        <v>210</v>
      </c>
      <c r="F96" s="22" t="s">
        <v>214</v>
      </c>
      <c r="G96" s="22" t="s">
        <v>214</v>
      </c>
      <c r="J96" s="30">
        <v>64</v>
      </c>
      <c r="K96" s="22" t="s">
        <v>94</v>
      </c>
      <c r="L96" s="30" t="e">
        <f t="shared" si="1"/>
        <v>#VALUE!</v>
      </c>
      <c r="M96" s="30"/>
    </row>
    <row r="97" spans="1:13" ht="12.75" x14ac:dyDescent="0.2">
      <c r="A97" s="22" t="s">
        <v>12</v>
      </c>
      <c r="B97" s="22" t="s">
        <v>200</v>
      </c>
      <c r="C97" s="22" t="s">
        <v>200</v>
      </c>
      <c r="D97" s="22" t="s">
        <v>211</v>
      </c>
      <c r="E97" s="22" t="s">
        <v>211</v>
      </c>
      <c r="F97" s="22" t="s">
        <v>206</v>
      </c>
      <c r="G97" s="22" t="s">
        <v>206</v>
      </c>
      <c r="J97" s="33"/>
      <c r="K97" s="36"/>
      <c r="L97" s="33"/>
      <c r="M97" s="33"/>
    </row>
    <row r="98" spans="1:13" ht="12.75" x14ac:dyDescent="0.2">
      <c r="A98" s="22" t="s">
        <v>13</v>
      </c>
      <c r="B98" s="22" t="s">
        <v>199</v>
      </c>
      <c r="C98" s="22" t="s">
        <v>199</v>
      </c>
      <c r="D98" s="30" t="s">
        <v>232</v>
      </c>
      <c r="E98" s="30" t="s">
        <v>232</v>
      </c>
      <c r="F98" s="22" t="s">
        <v>208</v>
      </c>
      <c r="G98" s="22" t="s">
        <v>208</v>
      </c>
      <c r="J98" s="51" t="s">
        <v>271</v>
      </c>
      <c r="K98" s="51"/>
      <c r="L98" s="51"/>
      <c r="M98" s="51"/>
    </row>
    <row r="99" spans="1:13" ht="12.75" x14ac:dyDescent="0.2">
      <c r="A99" s="22" t="s">
        <v>14</v>
      </c>
      <c r="B99" s="22" t="s">
        <v>198</v>
      </c>
      <c r="C99" s="22" t="s">
        <v>198</v>
      </c>
      <c r="D99" s="30" t="s">
        <v>233</v>
      </c>
      <c r="E99" s="30" t="s">
        <v>233</v>
      </c>
      <c r="F99" s="30" t="s">
        <v>234</v>
      </c>
      <c r="G99" s="30" t="s">
        <v>234</v>
      </c>
      <c r="J99" s="30"/>
      <c r="K99" s="37" t="s">
        <v>220</v>
      </c>
      <c r="L99" s="30" t="s">
        <v>221</v>
      </c>
      <c r="M99" s="30" t="s">
        <v>219</v>
      </c>
    </row>
    <row r="100" spans="1:13" ht="12.75" x14ac:dyDescent="0.2">
      <c r="A100" s="22" t="s">
        <v>15</v>
      </c>
      <c r="B100" s="31" t="s">
        <v>53</v>
      </c>
      <c r="C100" s="32" t="s">
        <v>235</v>
      </c>
      <c r="D100" s="32" t="s">
        <v>236</v>
      </c>
      <c r="E100" s="32" t="s">
        <v>236</v>
      </c>
      <c r="F100" s="32" t="s">
        <v>237</v>
      </c>
      <c r="G100" s="32" t="s">
        <v>238</v>
      </c>
      <c r="J100" s="32" t="s">
        <v>230</v>
      </c>
      <c r="K100" s="37">
        <v>582</v>
      </c>
      <c r="L100" s="37">
        <v>314.54300000000001</v>
      </c>
      <c r="M100" s="30">
        <f>(L100/K100)*100</f>
        <v>54.04518900343642</v>
      </c>
    </row>
    <row r="101" spans="1:13" ht="15" customHeight="1" x14ac:dyDescent="0.2">
      <c r="J101" s="30" t="s">
        <v>229</v>
      </c>
      <c r="K101" s="37">
        <v>455.06939999999997</v>
      </c>
      <c r="L101" s="37">
        <v>344.5215</v>
      </c>
      <c r="M101" s="30">
        <f t="shared" ref="M101:M103" si="2">(L101/K101)*100</f>
        <v>75.707463520948679</v>
      </c>
    </row>
    <row r="102" spans="1:13" ht="12.75" x14ac:dyDescent="0.2">
      <c r="A102" t="s">
        <v>95</v>
      </c>
      <c r="J102" s="32" t="s">
        <v>228</v>
      </c>
      <c r="K102" s="37">
        <v>276.58699999999999</v>
      </c>
      <c r="L102" s="37">
        <v>262.86700000000002</v>
      </c>
      <c r="M102" s="30">
        <f t="shared" si="2"/>
        <v>95.03953548069866</v>
      </c>
    </row>
    <row r="103" spans="1:13" ht="15" customHeight="1" x14ac:dyDescent="0.2">
      <c r="D103" s="50" t="s">
        <v>273</v>
      </c>
      <c r="E103" s="50"/>
      <c r="F103" s="46"/>
      <c r="G103" s="46"/>
      <c r="H103" s="46"/>
      <c r="J103" s="32" t="s">
        <v>227</v>
      </c>
      <c r="K103" s="37">
        <v>200</v>
      </c>
      <c r="L103" s="37">
        <v>208.17</v>
      </c>
      <c r="M103" s="30">
        <f t="shared" si="2"/>
        <v>104.08499999999998</v>
      </c>
    </row>
  </sheetData>
  <mergeCells count="9">
    <mergeCell ref="D103:E103"/>
    <mergeCell ref="P83:S83"/>
    <mergeCell ref="P88:S88"/>
    <mergeCell ref="N93:R95"/>
    <mergeCell ref="K73:L73"/>
    <mergeCell ref="J74:M74"/>
    <mergeCell ref="J90:M90"/>
    <mergeCell ref="J98:M98"/>
    <mergeCell ref="J82:M8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0001-937F-484D-9160-5A7FBB5D3564}">
  <dimension ref="A1:M50"/>
  <sheetViews>
    <sheetView topLeftCell="A18" workbookViewId="0">
      <selection activeCell="N55" sqref="N55"/>
    </sheetView>
  </sheetViews>
  <sheetFormatPr defaultColWidth="9.140625" defaultRowHeight="12.75" x14ac:dyDescent="0.2"/>
  <cols>
    <col min="1" max="1" width="9.28515625" customWidth="1"/>
    <col min="2" max="5" width="22.140625" customWidth="1"/>
    <col min="6" max="7" width="24.285156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239</v>
      </c>
    </row>
    <row r="3" spans="1:13" ht="15" customHeight="1" x14ac:dyDescent="0.2">
      <c r="A3" t="s">
        <v>240</v>
      </c>
    </row>
    <row r="4" spans="1:13" ht="15" customHeight="1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3</v>
      </c>
    </row>
    <row r="8" spans="1:13" x14ac:dyDescent="0.2">
      <c r="A8" t="s">
        <v>6</v>
      </c>
    </row>
    <row r="9" spans="1:13" x14ac:dyDescent="0.2">
      <c r="A9" t="s">
        <v>3</v>
      </c>
    </row>
    <row r="10" spans="1:13" x14ac:dyDescent="0.2">
      <c r="A10" s="22" t="s">
        <v>7</v>
      </c>
      <c r="B10" s="23">
        <v>1</v>
      </c>
      <c r="C10" s="23">
        <v>2</v>
      </c>
      <c r="D10" s="23">
        <v>3</v>
      </c>
      <c r="E10" s="23">
        <v>4</v>
      </c>
      <c r="F10" s="23">
        <v>5</v>
      </c>
      <c r="G10" s="23">
        <v>6</v>
      </c>
      <c r="H10" s="1"/>
      <c r="I10" s="1"/>
      <c r="J10" s="1"/>
      <c r="K10" s="1"/>
      <c r="L10" s="1"/>
      <c r="M10" s="1"/>
    </row>
    <row r="11" spans="1:13" x14ac:dyDescent="0.2">
      <c r="A11" s="22" t="s">
        <v>8</v>
      </c>
      <c r="B11" s="25">
        <v>0.1633</v>
      </c>
      <c r="C11" s="25">
        <v>0.1724</v>
      </c>
      <c r="D11" s="25">
        <v>0.29260000000000003</v>
      </c>
      <c r="E11" s="25">
        <v>0.29370000000000002</v>
      </c>
      <c r="F11" s="25">
        <v>0.14219999999999999</v>
      </c>
      <c r="G11" s="25">
        <v>0.1676</v>
      </c>
    </row>
    <row r="12" spans="1:13" x14ac:dyDescent="0.2">
      <c r="A12" s="22" t="s">
        <v>9</v>
      </c>
      <c r="B12" s="25">
        <v>0.18329999999999999</v>
      </c>
      <c r="C12" s="25">
        <v>0.17380000000000001</v>
      </c>
      <c r="D12" s="25">
        <v>0.2452</v>
      </c>
      <c r="E12" s="25">
        <v>0.23300000000000001</v>
      </c>
      <c r="F12" s="25">
        <v>0.1323</v>
      </c>
      <c r="G12" s="25">
        <v>0.31109999999999999</v>
      </c>
    </row>
    <row r="13" spans="1:13" x14ac:dyDescent="0.2">
      <c r="A13" s="22" t="s">
        <v>10</v>
      </c>
      <c r="B13" s="25">
        <v>0.26390000000000002</v>
      </c>
      <c r="C13" s="25">
        <v>0.26100000000000001</v>
      </c>
      <c r="D13" s="25">
        <v>0.22620000000000001</v>
      </c>
      <c r="E13" s="25">
        <v>0.2072</v>
      </c>
      <c r="F13" s="25">
        <v>0.30120000000000002</v>
      </c>
      <c r="G13" s="25">
        <v>0.308</v>
      </c>
    </row>
    <row r="14" spans="1:13" x14ac:dyDescent="0.2">
      <c r="A14" s="22" t="s">
        <v>11</v>
      </c>
      <c r="B14" s="25">
        <v>0.3266</v>
      </c>
      <c r="C14" s="25">
        <v>0.3352</v>
      </c>
      <c r="D14" s="25">
        <v>0.1948</v>
      </c>
      <c r="E14" s="25">
        <v>0.18590000000000001</v>
      </c>
      <c r="F14" s="25">
        <v>0.33660000000000001</v>
      </c>
      <c r="G14" s="25">
        <v>0.38800000000000001</v>
      </c>
    </row>
    <row r="15" spans="1:13" x14ac:dyDescent="0.2">
      <c r="A15" s="22" t="s">
        <v>12</v>
      </c>
      <c r="B15" s="25">
        <v>0.5726</v>
      </c>
      <c r="C15" s="25">
        <v>0.60270000000000001</v>
      </c>
      <c r="D15" s="25">
        <v>0.1384</v>
      </c>
      <c r="E15" s="25">
        <v>0.28870000000000001</v>
      </c>
      <c r="F15" s="25">
        <v>0.32929999999999998</v>
      </c>
      <c r="G15" s="25">
        <v>0.31209999999999999</v>
      </c>
    </row>
    <row r="16" spans="1:13" x14ac:dyDescent="0.2">
      <c r="A16" s="22" t="s">
        <v>13</v>
      </c>
      <c r="B16" s="25">
        <v>0.90800000000000003</v>
      </c>
      <c r="C16" s="25">
        <v>0.95830000000000004</v>
      </c>
      <c r="D16" s="25">
        <v>0.2281</v>
      </c>
      <c r="E16" s="25">
        <v>0.2482</v>
      </c>
      <c r="F16" s="25">
        <v>0.26989999999999997</v>
      </c>
      <c r="G16" s="25">
        <v>0.27500000000000002</v>
      </c>
    </row>
    <row r="17" spans="1:13" x14ac:dyDescent="0.2">
      <c r="A17" s="22" t="s">
        <v>14</v>
      </c>
      <c r="B17" s="25">
        <v>1.3776999999999999</v>
      </c>
      <c r="C17" s="25">
        <v>1.3726</v>
      </c>
      <c r="D17" s="25">
        <v>0.21190000000000001</v>
      </c>
      <c r="E17" s="25">
        <v>0.19800000000000001</v>
      </c>
      <c r="F17" s="25">
        <v>0.36280000000000001</v>
      </c>
      <c r="G17" s="25">
        <v>0.19209999999999999</v>
      </c>
    </row>
    <row r="18" spans="1:13" x14ac:dyDescent="0.2">
      <c r="A18" s="22" t="s">
        <v>15</v>
      </c>
      <c r="B18" s="25">
        <v>0.17069999999999999</v>
      </c>
      <c r="C18" s="25">
        <v>0.28129999999999999</v>
      </c>
      <c r="D18" s="25">
        <v>0.16830000000000001</v>
      </c>
      <c r="E18" s="25">
        <v>0.2208</v>
      </c>
      <c r="F18" s="25">
        <v>0.3846</v>
      </c>
      <c r="G18" s="25">
        <v>0.15620000000000001</v>
      </c>
    </row>
    <row r="20" spans="1:13" x14ac:dyDescent="0.2">
      <c r="A20" t="s">
        <v>16</v>
      </c>
    </row>
    <row r="21" spans="1:13" x14ac:dyDescent="0.2">
      <c r="A21" t="s">
        <v>3</v>
      </c>
    </row>
    <row r="22" spans="1:13" x14ac:dyDescent="0.2">
      <c r="A22" t="s">
        <v>6</v>
      </c>
    </row>
    <row r="23" spans="1:13" x14ac:dyDescent="0.2">
      <c r="A23" t="s">
        <v>3</v>
      </c>
    </row>
    <row r="24" spans="1:13" x14ac:dyDescent="0.2">
      <c r="A24" s="22" t="s">
        <v>7</v>
      </c>
      <c r="B24" s="23">
        <v>1</v>
      </c>
      <c r="C24" s="23">
        <v>2</v>
      </c>
      <c r="D24" s="23">
        <v>3</v>
      </c>
      <c r="E24" s="23">
        <v>4</v>
      </c>
      <c r="F24" s="23">
        <v>5</v>
      </c>
      <c r="G24" s="23">
        <v>6</v>
      </c>
      <c r="H24" s="1"/>
      <c r="I24" s="1"/>
      <c r="J24" s="1"/>
      <c r="K24" s="1"/>
      <c r="L24" s="1"/>
      <c r="M24" s="1"/>
    </row>
    <row r="25" spans="1:13" x14ac:dyDescent="0.2">
      <c r="A25" s="22" t="s">
        <v>8</v>
      </c>
      <c r="B25" s="25">
        <v>4.7199999999999999E-2</v>
      </c>
      <c r="C25" s="25">
        <v>6.4399999999999999E-2</v>
      </c>
      <c r="D25" s="25">
        <v>5.0299999999999997E-2</v>
      </c>
      <c r="E25" s="25">
        <v>5.45E-2</v>
      </c>
      <c r="F25" s="25">
        <v>4.3099999999999999E-2</v>
      </c>
      <c r="G25" s="25">
        <v>5.0599999999999999E-2</v>
      </c>
    </row>
    <row r="26" spans="1:13" x14ac:dyDescent="0.2">
      <c r="A26" s="22" t="s">
        <v>9</v>
      </c>
      <c r="B26" s="25">
        <v>4.3999999999999997E-2</v>
      </c>
      <c r="C26" s="25">
        <v>4.2299999999999997E-2</v>
      </c>
      <c r="D26" s="25">
        <v>4.4400000000000002E-2</v>
      </c>
      <c r="E26" s="25">
        <v>4.3799999999999999E-2</v>
      </c>
      <c r="F26" s="25">
        <v>4.3499999999999997E-2</v>
      </c>
      <c r="G26" s="25">
        <v>4.7199999999999999E-2</v>
      </c>
    </row>
    <row r="27" spans="1:13" x14ac:dyDescent="0.2">
      <c r="A27" s="22" t="s">
        <v>10</v>
      </c>
      <c r="B27" s="25">
        <v>4.7600000000000003E-2</v>
      </c>
      <c r="C27" s="25">
        <v>4.4200000000000003E-2</v>
      </c>
      <c r="D27" s="25">
        <v>4.4299999999999999E-2</v>
      </c>
      <c r="E27" s="25">
        <v>4.6100000000000002E-2</v>
      </c>
      <c r="F27" s="25">
        <v>4.58E-2</v>
      </c>
      <c r="G27" s="25">
        <v>4.5999999999999999E-2</v>
      </c>
    </row>
    <row r="28" spans="1:13" x14ac:dyDescent="0.2">
      <c r="A28" s="22" t="s">
        <v>11</v>
      </c>
      <c r="B28" s="25">
        <v>4.48E-2</v>
      </c>
      <c r="C28" s="25">
        <v>4.6100000000000002E-2</v>
      </c>
      <c r="D28" s="25">
        <v>4.6399999999999997E-2</v>
      </c>
      <c r="E28" s="25">
        <v>4.3999999999999997E-2</v>
      </c>
      <c r="F28" s="25">
        <v>5.6300000000000003E-2</v>
      </c>
      <c r="G28" s="25">
        <v>5.3999999999999999E-2</v>
      </c>
    </row>
    <row r="29" spans="1:13" x14ac:dyDescent="0.2">
      <c r="A29" s="22" t="s">
        <v>12</v>
      </c>
      <c r="B29" s="25">
        <v>4.99E-2</v>
      </c>
      <c r="C29" s="25">
        <v>4.9799999999999997E-2</v>
      </c>
      <c r="D29" s="25">
        <v>4.3200000000000002E-2</v>
      </c>
      <c r="E29" s="25">
        <v>4.5900000000000003E-2</v>
      </c>
      <c r="F29" s="25">
        <v>4.6699999999999998E-2</v>
      </c>
      <c r="G29" s="25">
        <v>4.9200000000000001E-2</v>
      </c>
    </row>
    <row r="30" spans="1:13" x14ac:dyDescent="0.2">
      <c r="A30" s="22" t="s">
        <v>13</v>
      </c>
      <c r="B30" s="25">
        <v>5.6800000000000003E-2</v>
      </c>
      <c r="C30" s="25">
        <v>5.4800000000000001E-2</v>
      </c>
      <c r="D30" s="25">
        <v>4.48E-2</v>
      </c>
      <c r="E30" s="25">
        <v>4.5100000000000001E-2</v>
      </c>
      <c r="F30" s="25">
        <v>4.6300000000000001E-2</v>
      </c>
      <c r="G30" s="25">
        <v>4.6800000000000001E-2</v>
      </c>
    </row>
    <row r="31" spans="1:13" x14ac:dyDescent="0.2">
      <c r="A31" s="22" t="s">
        <v>14</v>
      </c>
      <c r="B31" s="25">
        <v>6.3200000000000006E-2</v>
      </c>
      <c r="C31" s="25">
        <v>6.9699999999999998E-2</v>
      </c>
      <c r="D31" s="25">
        <v>4.4200000000000003E-2</v>
      </c>
      <c r="E31" s="25">
        <v>4.4900000000000002E-2</v>
      </c>
      <c r="F31" s="25">
        <v>4.8300000000000003E-2</v>
      </c>
      <c r="G31" s="25">
        <v>4.3900000000000002E-2</v>
      </c>
    </row>
    <row r="32" spans="1:13" x14ac:dyDescent="0.2">
      <c r="A32" s="22" t="s">
        <v>15</v>
      </c>
      <c r="B32" s="25">
        <v>4.3299999999999998E-2</v>
      </c>
      <c r="C32" s="25">
        <v>4.5199999999999997E-2</v>
      </c>
      <c r="D32" s="25">
        <v>4.36E-2</v>
      </c>
      <c r="E32" s="25">
        <v>7.7200000000000005E-2</v>
      </c>
      <c r="F32" s="25">
        <v>8.4099999999999994E-2</v>
      </c>
      <c r="G32" s="25">
        <v>4.6100000000000002E-2</v>
      </c>
    </row>
    <row r="34" spans="1:13" x14ac:dyDescent="0.2">
      <c r="A34" s="22" t="s">
        <v>17</v>
      </c>
      <c r="B34" s="23">
        <v>1</v>
      </c>
      <c r="C34" s="23">
        <v>2</v>
      </c>
      <c r="D34" s="23">
        <v>3</v>
      </c>
      <c r="E34" s="23">
        <v>4</v>
      </c>
      <c r="F34" s="23">
        <v>5</v>
      </c>
      <c r="G34" s="23">
        <v>6</v>
      </c>
      <c r="H34" s="1"/>
      <c r="I34" s="1"/>
      <c r="J34" s="1"/>
      <c r="K34" s="1"/>
      <c r="L34" s="1"/>
      <c r="M34" s="1"/>
    </row>
    <row r="35" spans="1:13" x14ac:dyDescent="0.2">
      <c r="A35" s="22" t="s">
        <v>8</v>
      </c>
      <c r="B35" s="22" t="s">
        <v>204</v>
      </c>
      <c r="C35" s="22" t="s">
        <v>204</v>
      </c>
      <c r="D35" s="22" t="s">
        <v>241</v>
      </c>
      <c r="E35" s="22" t="s">
        <v>241</v>
      </c>
      <c r="F35" s="22" t="s">
        <v>242</v>
      </c>
      <c r="G35" s="22" t="s">
        <v>242</v>
      </c>
    </row>
    <row r="36" spans="1:13" x14ac:dyDescent="0.2">
      <c r="A36" s="22" t="s">
        <v>9</v>
      </c>
      <c r="B36" s="22" t="s">
        <v>203</v>
      </c>
      <c r="C36" s="22" t="s">
        <v>203</v>
      </c>
      <c r="D36" s="22" t="s">
        <v>243</v>
      </c>
      <c r="E36" s="22" t="s">
        <v>243</v>
      </c>
      <c r="F36" s="22" t="s">
        <v>244</v>
      </c>
      <c r="G36" s="30" t="s">
        <v>245</v>
      </c>
    </row>
    <row r="37" spans="1:13" x14ac:dyDescent="0.2">
      <c r="A37" s="22" t="s">
        <v>10</v>
      </c>
      <c r="B37" s="22" t="s">
        <v>202</v>
      </c>
      <c r="C37" s="22" t="s">
        <v>202</v>
      </c>
      <c r="D37" s="22" t="s">
        <v>246</v>
      </c>
      <c r="E37" s="22" t="s">
        <v>246</v>
      </c>
      <c r="F37" s="30" t="s">
        <v>247</v>
      </c>
      <c r="G37" s="30" t="s">
        <v>247</v>
      </c>
    </row>
    <row r="38" spans="1:13" x14ac:dyDescent="0.2">
      <c r="A38" s="22" t="s">
        <v>11</v>
      </c>
      <c r="B38" s="22" t="s">
        <v>201</v>
      </c>
      <c r="C38" s="22" t="s">
        <v>201</v>
      </c>
      <c r="D38" s="22" t="s">
        <v>248</v>
      </c>
      <c r="E38" s="22" t="s">
        <v>248</v>
      </c>
      <c r="F38" s="30" t="s">
        <v>249</v>
      </c>
      <c r="G38" s="30" t="s">
        <v>249</v>
      </c>
    </row>
    <row r="39" spans="1:13" x14ac:dyDescent="0.2">
      <c r="A39" s="22" t="s">
        <v>12</v>
      </c>
      <c r="B39" s="22" t="s">
        <v>200</v>
      </c>
      <c r="C39" s="22" t="s">
        <v>200</v>
      </c>
      <c r="D39" s="22" t="s">
        <v>250</v>
      </c>
      <c r="E39" s="30" t="s">
        <v>251</v>
      </c>
      <c r="F39" s="30" t="s">
        <v>252</v>
      </c>
      <c r="G39" s="30" t="s">
        <v>253</v>
      </c>
    </row>
    <row r="40" spans="1:13" x14ac:dyDescent="0.2">
      <c r="A40" s="22" t="s">
        <v>13</v>
      </c>
      <c r="B40" s="22" t="s">
        <v>199</v>
      </c>
      <c r="C40" s="22" t="s">
        <v>199</v>
      </c>
      <c r="D40" s="22" t="s">
        <v>254</v>
      </c>
      <c r="E40" s="22" t="s">
        <v>254</v>
      </c>
      <c r="F40" s="30" t="s">
        <v>255</v>
      </c>
      <c r="G40" s="30" t="s">
        <v>255</v>
      </c>
    </row>
    <row r="41" spans="1:13" x14ac:dyDescent="0.2">
      <c r="A41" s="22" t="s">
        <v>14</v>
      </c>
      <c r="B41" s="22" t="s">
        <v>198</v>
      </c>
      <c r="C41" s="22" t="s">
        <v>198</v>
      </c>
      <c r="D41" s="22" t="s">
        <v>256</v>
      </c>
      <c r="E41" s="22" t="s">
        <v>256</v>
      </c>
      <c r="F41" s="39" t="s">
        <v>257</v>
      </c>
      <c r="G41" s="39" t="s">
        <v>258</v>
      </c>
    </row>
    <row r="42" spans="1:13" x14ac:dyDescent="0.2">
      <c r="A42" s="22" t="s">
        <v>15</v>
      </c>
      <c r="B42" s="22" t="s">
        <v>53</v>
      </c>
      <c r="C42" s="30" t="s">
        <v>259</v>
      </c>
      <c r="D42" s="22" t="s">
        <v>260</v>
      </c>
      <c r="E42" s="22" t="s">
        <v>260</v>
      </c>
      <c r="F42" s="39" t="s">
        <v>261</v>
      </c>
      <c r="G42" s="39" t="s">
        <v>262</v>
      </c>
    </row>
    <row r="44" spans="1:13" x14ac:dyDescent="0.2">
      <c r="A44" t="s">
        <v>59</v>
      </c>
    </row>
    <row r="45" spans="1:13" x14ac:dyDescent="0.2">
      <c r="E45" s="62" t="s">
        <v>275</v>
      </c>
      <c r="F45" s="62"/>
      <c r="G45" s="62"/>
      <c r="H45" s="62"/>
    </row>
    <row r="46" spans="1:13" x14ac:dyDescent="0.2">
      <c r="E46" s="62" t="s">
        <v>274</v>
      </c>
      <c r="F46" s="62"/>
      <c r="G46" s="62"/>
      <c r="H46" s="62"/>
    </row>
    <row r="47" spans="1:13" x14ac:dyDescent="0.2">
      <c r="E47" s="62" t="s">
        <v>263</v>
      </c>
      <c r="F47" s="62"/>
      <c r="G47" s="62"/>
      <c r="H47" s="62"/>
    </row>
    <row r="48" spans="1:13" x14ac:dyDescent="0.2">
      <c r="E48" s="62" t="s">
        <v>264</v>
      </c>
      <c r="F48" s="62"/>
      <c r="G48" s="62"/>
      <c r="H48" s="62"/>
    </row>
    <row r="49" spans="5:8" x14ac:dyDescent="0.2">
      <c r="E49" s="62" t="s">
        <v>265</v>
      </c>
      <c r="F49" s="62"/>
      <c r="G49" s="62"/>
      <c r="H49" s="62"/>
    </row>
    <row r="50" spans="5:8" x14ac:dyDescent="0.2">
      <c r="E50" s="62" t="s">
        <v>266</v>
      </c>
      <c r="F50" s="62"/>
      <c r="G50" s="62"/>
      <c r="H50" s="62"/>
    </row>
  </sheetData>
  <mergeCells count="6">
    <mergeCell ref="E50:H50"/>
    <mergeCell ref="E45:H45"/>
    <mergeCell ref="E46:H46"/>
    <mergeCell ref="E47:H47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5E1A-ABED-42A5-BFAD-B2D36BB762D0}">
  <dimension ref="A1:U108"/>
  <sheetViews>
    <sheetView tabSelected="1" topLeftCell="F63" workbookViewId="0">
      <selection activeCell="S95" sqref="S95"/>
    </sheetView>
  </sheetViews>
  <sheetFormatPr defaultColWidth="9.140625" defaultRowHeight="15" customHeight="1" x14ac:dyDescent="0.2"/>
  <cols>
    <col min="1" max="1" width="11.7109375" customWidth="1"/>
    <col min="2" max="2" width="19.5703125" customWidth="1"/>
    <col min="3" max="5" width="21.85546875" customWidth="1"/>
    <col min="6" max="7" width="23.85546875" customWidth="1"/>
    <col min="8" max="9" width="4.140625" customWidth="1"/>
    <col min="10" max="10" width="22.140625" customWidth="1"/>
    <col min="11" max="13" width="14.85546875" customWidth="1"/>
    <col min="15" max="16" width="15" customWidth="1"/>
    <col min="17" max="17" width="17.5703125" customWidth="1"/>
    <col min="18" max="19" width="13.7109375" customWidth="1"/>
    <col min="20" max="21" width="17.855468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239</v>
      </c>
    </row>
    <row r="3" spans="1:1" ht="15" customHeight="1" x14ac:dyDescent="0.2">
      <c r="A3" t="s">
        <v>240</v>
      </c>
    </row>
    <row r="4" spans="1:1" ht="15" customHeight="1" x14ac:dyDescent="0.2">
      <c r="A4" t="s">
        <v>3</v>
      </c>
    </row>
    <row r="5" spans="1:1" ht="12.75" x14ac:dyDescent="0.2">
      <c r="A5" t="s">
        <v>96</v>
      </c>
    </row>
    <row r="6" spans="1:1" ht="12.75" x14ac:dyDescent="0.2"/>
    <row r="7" spans="1:1" ht="12.75" x14ac:dyDescent="0.2">
      <c r="A7" t="s">
        <v>60</v>
      </c>
    </row>
    <row r="8" spans="1:1" ht="12.75" x14ac:dyDescent="0.2">
      <c r="A8" t="s">
        <v>61</v>
      </c>
    </row>
    <row r="9" spans="1:1" ht="12.75" x14ac:dyDescent="0.2">
      <c r="A9" t="s">
        <v>62</v>
      </c>
    </row>
    <row r="10" spans="1:1" ht="12.75" x14ac:dyDescent="0.2">
      <c r="A10" t="s">
        <v>63</v>
      </c>
    </row>
    <row r="11" spans="1:1" ht="12.75" x14ac:dyDescent="0.2">
      <c r="A11" t="s">
        <v>64</v>
      </c>
    </row>
    <row r="12" spans="1:1" ht="12.75" x14ac:dyDescent="0.2">
      <c r="A12" t="s">
        <v>3</v>
      </c>
    </row>
    <row r="13" spans="1:1" ht="12.75" x14ac:dyDescent="0.2"/>
    <row r="14" spans="1:1" ht="12.75" x14ac:dyDescent="0.2">
      <c r="A14" t="s">
        <v>3</v>
      </c>
    </row>
    <row r="15" spans="1:1" ht="12.75" x14ac:dyDescent="0.2"/>
    <row r="16" spans="1:1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spans="1:7" ht="12.75" x14ac:dyDescent="0.2"/>
    <row r="34" spans="1:7" ht="12.75" x14ac:dyDescent="0.2"/>
    <row r="35" spans="1:7" ht="12.75" x14ac:dyDescent="0.2">
      <c r="A35" t="s">
        <v>267</v>
      </c>
    </row>
    <row r="36" spans="1:7" ht="12.75" x14ac:dyDescent="0.2"/>
    <row r="37" spans="1:7" ht="12.75" x14ac:dyDescent="0.2">
      <c r="A37" t="s">
        <v>65</v>
      </c>
    </row>
    <row r="38" spans="1:7" ht="12.75" x14ac:dyDescent="0.2">
      <c r="A38" t="s">
        <v>66</v>
      </c>
    </row>
    <row r="39" spans="1:7" ht="12.75" x14ac:dyDescent="0.2">
      <c r="A39" t="s">
        <v>67</v>
      </c>
      <c r="B39" s="8">
        <v>-3.0390199999999999E-2</v>
      </c>
    </row>
    <row r="40" spans="1:7" ht="12.75" x14ac:dyDescent="0.2">
      <c r="A40" t="s">
        <v>68</v>
      </c>
      <c r="B40" s="3">
        <v>1.2098599999999999</v>
      </c>
    </row>
    <row r="41" spans="1:7" ht="12.75" x14ac:dyDescent="0.2">
      <c r="A41" t="s">
        <v>69</v>
      </c>
      <c r="B41" s="4">
        <v>1212.1600000000001</v>
      </c>
    </row>
    <row r="42" spans="1:7" ht="12.75" x14ac:dyDescent="0.2">
      <c r="A42" t="s">
        <v>70</v>
      </c>
      <c r="B42" s="3">
        <v>2.04684</v>
      </c>
    </row>
    <row r="43" spans="1:7" ht="12.75" x14ac:dyDescent="0.2"/>
    <row r="44" spans="1:7" ht="12.75" x14ac:dyDescent="0.2">
      <c r="A44" t="s">
        <v>268</v>
      </c>
    </row>
    <row r="45" spans="1:7" ht="12.75" x14ac:dyDescent="0.2">
      <c r="A45" t="s">
        <v>3</v>
      </c>
    </row>
    <row r="46" spans="1:7" ht="12.75" x14ac:dyDescent="0.2">
      <c r="A46" t="s">
        <v>72</v>
      </c>
      <c r="B46" t="s">
        <v>17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</row>
    <row r="47" spans="1:7" ht="12.75" x14ac:dyDescent="0.2">
      <c r="A47" t="s">
        <v>78</v>
      </c>
      <c r="B47" t="s">
        <v>48</v>
      </c>
      <c r="C47">
        <v>1600</v>
      </c>
      <c r="D47" s="3">
        <v>1.1813100000000001</v>
      </c>
      <c r="E47" s="2">
        <v>0.69180799999999998</v>
      </c>
      <c r="F47" s="3">
        <v>1.18102</v>
      </c>
      <c r="G47" s="5">
        <v>2.9128599999999998E-4</v>
      </c>
    </row>
    <row r="48" spans="1:7" ht="12.75" x14ac:dyDescent="0.2">
      <c r="A48" t="s">
        <v>79</v>
      </c>
      <c r="B48" t="s">
        <v>48</v>
      </c>
      <c r="C48">
        <v>1600</v>
      </c>
      <c r="D48" s="3">
        <v>1.18709</v>
      </c>
      <c r="F48" s="3">
        <v>1.18102</v>
      </c>
      <c r="G48" s="6">
        <v>6.0700399999999996E-3</v>
      </c>
    </row>
    <row r="49" spans="1:7" ht="12.75" x14ac:dyDescent="0.2">
      <c r="A49" t="s">
        <v>80</v>
      </c>
      <c r="B49" t="s">
        <v>48</v>
      </c>
      <c r="C49">
        <v>1600</v>
      </c>
      <c r="D49" s="3">
        <v>1.17553</v>
      </c>
      <c r="F49" s="3">
        <v>1.18102</v>
      </c>
      <c r="G49" s="6">
        <v>-5.4874600000000004E-3</v>
      </c>
    </row>
    <row r="50" spans="1:7" ht="12.75" x14ac:dyDescent="0.2">
      <c r="A50" t="s">
        <v>78</v>
      </c>
      <c r="B50" t="s">
        <v>43</v>
      </c>
      <c r="C50" s="7">
        <v>800</v>
      </c>
      <c r="D50" s="2">
        <v>0.75000500000000003</v>
      </c>
      <c r="E50" s="3">
        <v>4.9298799999999998</v>
      </c>
      <c r="F50" s="2">
        <v>0.75250399999999995</v>
      </c>
      <c r="G50" s="6">
        <v>-2.4993099999999998E-3</v>
      </c>
    </row>
    <row r="51" spans="1:7" ht="12.75" x14ac:dyDescent="0.2">
      <c r="A51" t="s">
        <v>81</v>
      </c>
      <c r="B51" t="s">
        <v>43</v>
      </c>
      <c r="C51" s="7">
        <v>800</v>
      </c>
      <c r="D51" s="2">
        <v>0.72385999999999995</v>
      </c>
      <c r="F51" s="2">
        <v>0.75250399999999995</v>
      </c>
      <c r="G51" s="8">
        <v>-2.8644099999999999E-2</v>
      </c>
    </row>
    <row r="52" spans="1:7" ht="12.75" x14ac:dyDescent="0.2">
      <c r="A52" t="s">
        <v>82</v>
      </c>
      <c r="B52" t="s">
        <v>43</v>
      </c>
      <c r="C52" s="7">
        <v>800</v>
      </c>
      <c r="D52" s="2">
        <v>0.77615000000000001</v>
      </c>
      <c r="F52" s="2">
        <v>0.75250399999999995</v>
      </c>
      <c r="G52" s="8">
        <v>2.36455E-2</v>
      </c>
    </row>
    <row r="53" spans="1:7" ht="12.75" x14ac:dyDescent="0.2">
      <c r="A53" t="s">
        <v>78</v>
      </c>
      <c r="B53" t="s">
        <v>38</v>
      </c>
      <c r="C53" s="7">
        <v>400</v>
      </c>
      <c r="D53" s="2">
        <v>0.41045999999999999</v>
      </c>
      <c r="E53" s="3">
        <v>5.1979899999999999</v>
      </c>
      <c r="F53" s="2">
        <v>0.40018900000000002</v>
      </c>
      <c r="G53" s="8">
        <v>1.0271300000000001E-2</v>
      </c>
    </row>
    <row r="54" spans="1:7" ht="12.75" x14ac:dyDescent="0.2">
      <c r="A54" t="s">
        <v>83</v>
      </c>
      <c r="B54" t="s">
        <v>38</v>
      </c>
      <c r="C54" s="7">
        <v>400</v>
      </c>
      <c r="D54" s="2">
        <v>0.395374</v>
      </c>
      <c r="F54" s="2">
        <v>0.40018900000000002</v>
      </c>
      <c r="G54" s="6">
        <v>-4.8152799999999999E-3</v>
      </c>
    </row>
    <row r="55" spans="1:7" ht="12.75" x14ac:dyDescent="0.2">
      <c r="A55" t="s">
        <v>84</v>
      </c>
      <c r="B55" t="s">
        <v>38</v>
      </c>
      <c r="C55" s="7">
        <v>400</v>
      </c>
      <c r="D55" s="2">
        <v>0.42554700000000001</v>
      </c>
      <c r="F55" s="2">
        <v>0.40018900000000002</v>
      </c>
      <c r="G55" s="8">
        <v>2.5357899999999999E-2</v>
      </c>
    </row>
    <row r="56" spans="1:7" ht="12.75" x14ac:dyDescent="0.2">
      <c r="A56" t="s">
        <v>78</v>
      </c>
      <c r="B56" t="s">
        <v>33</v>
      </c>
      <c r="C56" s="7">
        <v>200</v>
      </c>
      <c r="D56" s="2">
        <v>0.15803700000000001</v>
      </c>
      <c r="E56" s="3">
        <v>3.2934600000000001</v>
      </c>
      <c r="F56" s="2">
        <v>0.18057899999999999</v>
      </c>
      <c r="G56" s="8">
        <v>-2.2542099999999999E-2</v>
      </c>
    </row>
    <row r="57" spans="1:7" ht="12.75" x14ac:dyDescent="0.2">
      <c r="A57" t="s">
        <v>85</v>
      </c>
      <c r="B57" t="s">
        <v>33</v>
      </c>
      <c r="C57" s="7">
        <v>200</v>
      </c>
      <c r="D57" s="2">
        <v>0.15435599999999999</v>
      </c>
      <c r="F57" s="2">
        <v>0.18057899999999999</v>
      </c>
      <c r="G57" s="8">
        <v>-2.6222499999999999E-2</v>
      </c>
    </row>
    <row r="58" spans="1:7" ht="12.75" x14ac:dyDescent="0.2">
      <c r="A58" t="s">
        <v>86</v>
      </c>
      <c r="B58" t="s">
        <v>33</v>
      </c>
      <c r="C58" s="7">
        <v>200</v>
      </c>
      <c r="D58" s="2">
        <v>0.161717</v>
      </c>
      <c r="F58" s="2">
        <v>0.18057899999999999</v>
      </c>
      <c r="G58" s="8">
        <v>-1.8861699999999999E-2</v>
      </c>
    </row>
    <row r="59" spans="1:7" ht="12.75" x14ac:dyDescent="0.2">
      <c r="A59" t="s">
        <v>78</v>
      </c>
      <c r="B59" t="s">
        <v>28</v>
      </c>
      <c r="C59" s="7">
        <v>100</v>
      </c>
      <c r="D59" s="8">
        <v>8.9149099999999995E-2</v>
      </c>
      <c r="E59" s="2">
        <v>0.41078399999999998</v>
      </c>
      <c r="F59" s="8">
        <v>6.6393900000000006E-2</v>
      </c>
      <c r="G59" s="8">
        <v>2.2755299999999999E-2</v>
      </c>
    </row>
    <row r="60" spans="1:7" ht="12.75" x14ac:dyDescent="0.2">
      <c r="A60" t="s">
        <v>87</v>
      </c>
      <c r="B60" t="s">
        <v>28</v>
      </c>
      <c r="C60" s="7">
        <v>100</v>
      </c>
      <c r="D60" s="8">
        <v>8.8890200000000003E-2</v>
      </c>
      <c r="F60" s="8">
        <v>6.6393900000000006E-2</v>
      </c>
      <c r="G60" s="8">
        <v>2.24963E-2</v>
      </c>
    </row>
    <row r="61" spans="1:7" ht="12.75" x14ac:dyDescent="0.2">
      <c r="A61" t="s">
        <v>88</v>
      </c>
      <c r="B61" t="s">
        <v>28</v>
      </c>
      <c r="C61" s="7">
        <v>100</v>
      </c>
      <c r="D61" s="8">
        <v>8.9408100000000004E-2</v>
      </c>
      <c r="F61" s="8">
        <v>6.6393900000000006E-2</v>
      </c>
      <c r="G61" s="8">
        <v>2.3014199999999999E-2</v>
      </c>
    </row>
    <row r="62" spans="1:7" ht="12.75" x14ac:dyDescent="0.2">
      <c r="A62" t="s">
        <v>78</v>
      </c>
      <c r="B62" t="s">
        <v>23</v>
      </c>
      <c r="C62" s="9">
        <v>50</v>
      </c>
      <c r="D62" s="6">
        <v>8.0441000000000002E-3</v>
      </c>
      <c r="E62" s="9">
        <v>67.984800000000007</v>
      </c>
      <c r="F62" s="8">
        <v>1.2587299999999999E-2</v>
      </c>
      <c r="G62" s="6">
        <v>-4.54317E-3</v>
      </c>
    </row>
    <row r="63" spans="1:7" ht="12.75" x14ac:dyDescent="0.2">
      <c r="A63" t="s">
        <v>89</v>
      </c>
      <c r="B63" t="s">
        <v>23</v>
      </c>
      <c r="C63" s="9">
        <v>50</v>
      </c>
      <c r="D63" s="8">
        <v>1.1911100000000001E-2</v>
      </c>
      <c r="F63" s="8">
        <v>1.2587299999999999E-2</v>
      </c>
      <c r="G63" s="5">
        <v>-6.7616699999999998E-4</v>
      </c>
    </row>
    <row r="64" spans="1:7" ht="12.75" x14ac:dyDescent="0.2">
      <c r="A64" t="s">
        <v>90</v>
      </c>
      <c r="B64" t="s">
        <v>23</v>
      </c>
      <c r="C64" s="9">
        <v>50</v>
      </c>
      <c r="D64" s="6">
        <v>4.1771000000000004E-3</v>
      </c>
      <c r="F64" s="8">
        <v>1.2587299999999999E-2</v>
      </c>
      <c r="G64" s="6">
        <v>-8.4101699999999998E-3</v>
      </c>
    </row>
    <row r="65" spans="1:21" ht="12.75" x14ac:dyDescent="0.2">
      <c r="A65" t="s">
        <v>78</v>
      </c>
      <c r="B65" t="s">
        <v>18</v>
      </c>
      <c r="C65" s="9">
        <v>25</v>
      </c>
      <c r="D65" s="8">
        <v>-1.5323099999999999E-2</v>
      </c>
      <c r="E65" s="9">
        <v>37.417099999999998</v>
      </c>
      <c r="F65" s="8">
        <v>-1.1589800000000001E-2</v>
      </c>
      <c r="G65" s="6">
        <v>-3.73325E-3</v>
      </c>
    </row>
    <row r="66" spans="1:21" ht="12.75" x14ac:dyDescent="0.2">
      <c r="A66" t="s">
        <v>91</v>
      </c>
      <c r="B66" t="s">
        <v>18</v>
      </c>
      <c r="C66" s="9">
        <v>25</v>
      </c>
      <c r="D66" s="8">
        <v>-1.12689E-2</v>
      </c>
      <c r="F66" s="8">
        <v>-1.1589800000000001E-2</v>
      </c>
      <c r="G66" s="5">
        <v>3.2089599999999999E-4</v>
      </c>
      <c r="J66" s="75" t="s">
        <v>269</v>
      </c>
      <c r="K66" s="75"/>
      <c r="L66" s="75"/>
      <c r="M66" s="75"/>
    </row>
    <row r="67" spans="1:21" ht="12.75" x14ac:dyDescent="0.2">
      <c r="A67" t="s">
        <v>92</v>
      </c>
      <c r="B67" t="s">
        <v>18</v>
      </c>
      <c r="C67" s="9">
        <v>25</v>
      </c>
      <c r="D67" s="8">
        <v>-1.9377200000000001E-2</v>
      </c>
      <c r="F67" s="8">
        <v>-1.1589800000000001E-2</v>
      </c>
      <c r="G67" s="6">
        <v>-7.7873999999999999E-3</v>
      </c>
      <c r="J67" s="51" t="s">
        <v>270</v>
      </c>
      <c r="K67" s="51"/>
      <c r="L67" s="51"/>
      <c r="M67" s="51"/>
    </row>
    <row r="68" spans="1:21" ht="13.5" thickBot="1" x14ac:dyDescent="0.25">
      <c r="J68" s="30" t="s">
        <v>216</v>
      </c>
      <c r="K68" s="37" t="s">
        <v>217</v>
      </c>
      <c r="L68" s="30" t="s">
        <v>218</v>
      </c>
      <c r="M68" s="30" t="s">
        <v>219</v>
      </c>
    </row>
    <row r="69" spans="1:21" ht="12.75" x14ac:dyDescent="0.2">
      <c r="J69" s="30">
        <v>2.5</v>
      </c>
      <c r="K69" s="22">
        <v>141.447</v>
      </c>
      <c r="L69" s="22">
        <f>J69*K69</f>
        <v>353.61750000000001</v>
      </c>
      <c r="M69" s="30"/>
      <c r="N69" s="63" t="s">
        <v>283</v>
      </c>
      <c r="O69" s="64"/>
      <c r="P69" s="64"/>
      <c r="Q69" s="65"/>
    </row>
    <row r="70" spans="1:21" ht="12.75" x14ac:dyDescent="0.2">
      <c r="A70" t="s">
        <v>6</v>
      </c>
      <c r="J70" s="30">
        <v>5</v>
      </c>
      <c r="K70" s="22">
        <v>101.12354999999999</v>
      </c>
      <c r="L70" s="22">
        <f t="shared" ref="L70:L73" si="0">J70*K70</f>
        <v>505.61775</v>
      </c>
      <c r="M70" s="30"/>
      <c r="N70" s="66"/>
      <c r="O70" s="67"/>
      <c r="P70" s="67"/>
      <c r="Q70" s="68"/>
    </row>
    <row r="71" spans="1:21" ht="13.5" thickBot="1" x14ac:dyDescent="0.25">
      <c r="A71" t="s">
        <v>3</v>
      </c>
      <c r="J71" s="30">
        <v>10</v>
      </c>
      <c r="K71" s="22">
        <v>79.74475000000001</v>
      </c>
      <c r="L71" s="22">
        <f t="shared" si="0"/>
        <v>797.4475000000001</v>
      </c>
      <c r="M71" s="30"/>
      <c r="N71" s="69"/>
      <c r="O71" s="70"/>
      <c r="P71" s="70"/>
      <c r="Q71" s="71"/>
    </row>
    <row r="72" spans="1:21" ht="12.75" x14ac:dyDescent="0.2">
      <c r="A72" s="22" t="s">
        <v>93</v>
      </c>
      <c r="B72" s="23">
        <v>1</v>
      </c>
      <c r="C72" s="23">
        <v>2</v>
      </c>
      <c r="D72" s="23">
        <v>3</v>
      </c>
      <c r="E72" s="23">
        <v>4</v>
      </c>
      <c r="F72" s="23">
        <v>5</v>
      </c>
      <c r="G72" s="23">
        <v>6</v>
      </c>
      <c r="H72" s="1"/>
      <c r="I72" s="1"/>
      <c r="J72" s="30">
        <v>20</v>
      </c>
      <c r="K72" s="22">
        <v>55.008250000000004</v>
      </c>
      <c r="L72" s="22">
        <f t="shared" si="0"/>
        <v>1100.165</v>
      </c>
      <c r="M72" s="30"/>
    </row>
    <row r="73" spans="1:21" ht="12.75" x14ac:dyDescent="0.2">
      <c r="A73" s="22" t="s">
        <v>8</v>
      </c>
      <c r="B73" s="26">
        <v>-1.12689E-2</v>
      </c>
      <c r="C73" s="26">
        <v>-1.9377200000000001E-2</v>
      </c>
      <c r="D73" s="28">
        <v>0.11487799999999999</v>
      </c>
      <c r="E73" s="28">
        <v>0.11182499999999999</v>
      </c>
      <c r="F73" s="26">
        <v>-2.8321900000000001E-2</v>
      </c>
      <c r="G73" s="26">
        <v>-1.0356000000000001E-2</v>
      </c>
      <c r="J73" s="30">
        <v>40</v>
      </c>
      <c r="K73" s="22" t="s">
        <v>94</v>
      </c>
      <c r="L73" s="22" t="e">
        <f t="shared" si="0"/>
        <v>#VALUE!</v>
      </c>
      <c r="M73" s="30"/>
    </row>
    <row r="74" spans="1:21" ht="12.75" x14ac:dyDescent="0.2">
      <c r="A74" s="22" t="s">
        <v>9</v>
      </c>
      <c r="B74" s="26">
        <v>1.1911100000000001E-2</v>
      </c>
      <c r="C74" s="27">
        <v>4.1771000000000004E-3</v>
      </c>
      <c r="D74" s="26">
        <v>7.3482500000000006E-2</v>
      </c>
      <c r="E74" s="26">
        <v>6.1844000000000003E-2</v>
      </c>
      <c r="F74" s="26">
        <v>-3.8621599999999999E-2</v>
      </c>
      <c r="G74" s="28">
        <v>0.13650999999999999</v>
      </c>
      <c r="J74" s="33"/>
      <c r="K74" s="36"/>
      <c r="L74" s="33"/>
      <c r="M74" s="33"/>
    </row>
    <row r="75" spans="1:21" ht="12.75" x14ac:dyDescent="0.2">
      <c r="A75" s="22" t="s">
        <v>10</v>
      </c>
      <c r="B75" s="26">
        <v>8.8890200000000003E-2</v>
      </c>
      <c r="C75" s="26">
        <v>8.9408100000000004E-2</v>
      </c>
      <c r="D75" s="26">
        <v>5.4460700000000001E-2</v>
      </c>
      <c r="E75" s="26">
        <v>3.37726E-2</v>
      </c>
      <c r="F75" s="28">
        <v>0.128025</v>
      </c>
      <c r="G75" s="28">
        <v>0.13461500000000001</v>
      </c>
      <c r="J75" s="51" t="s">
        <v>271</v>
      </c>
      <c r="K75" s="51"/>
      <c r="L75" s="51"/>
      <c r="M75" s="51"/>
      <c r="R75" s="51" t="s">
        <v>276</v>
      </c>
      <c r="S75" s="51"/>
      <c r="T75" s="51"/>
      <c r="U75" s="51"/>
    </row>
    <row r="76" spans="1:21" ht="12.75" x14ac:dyDescent="0.2">
      <c r="A76" s="22" t="s">
        <v>11</v>
      </c>
      <c r="B76" s="28">
        <v>0.15435599999999999</v>
      </c>
      <c r="C76" s="28">
        <v>0.161717</v>
      </c>
      <c r="D76" s="26">
        <v>2.0951399999999998E-2</v>
      </c>
      <c r="E76" s="26">
        <v>1.45305E-2</v>
      </c>
      <c r="F76" s="28">
        <v>0.152888</v>
      </c>
      <c r="G76" s="28">
        <v>0.206562</v>
      </c>
      <c r="J76" s="30"/>
      <c r="K76" s="37" t="s">
        <v>220</v>
      </c>
      <c r="L76" s="30" t="s">
        <v>221</v>
      </c>
      <c r="M76" s="30" t="s">
        <v>219</v>
      </c>
      <c r="R76" s="47" t="s">
        <v>277</v>
      </c>
      <c r="S76" s="47" t="s">
        <v>278</v>
      </c>
      <c r="T76" s="48" t="s">
        <v>279</v>
      </c>
      <c r="U76" s="48" t="s">
        <v>282</v>
      </c>
    </row>
    <row r="77" spans="1:21" ht="12.75" x14ac:dyDescent="0.2">
      <c r="A77" s="22" t="s">
        <v>12</v>
      </c>
      <c r="B77" s="28">
        <v>0.395374</v>
      </c>
      <c r="C77" s="28">
        <v>0.42554700000000001</v>
      </c>
      <c r="D77" s="26">
        <v>-3.2155599999999999E-2</v>
      </c>
      <c r="E77" s="28">
        <v>0.115411</v>
      </c>
      <c r="F77" s="28">
        <v>0.15523700000000001</v>
      </c>
      <c r="G77" s="28">
        <v>0.135601</v>
      </c>
      <c r="J77" s="30" t="s">
        <v>247</v>
      </c>
      <c r="K77" s="37">
        <v>323.76612499999999</v>
      </c>
      <c r="L77" s="22">
        <v>157.11849999999998</v>
      </c>
      <c r="M77" s="30">
        <f>(L77/K77)*100</f>
        <v>48.528393759538616</v>
      </c>
      <c r="R77" s="47">
        <v>210</v>
      </c>
      <c r="S77" s="47">
        <v>30</v>
      </c>
      <c r="T77" s="47">
        <v>1600</v>
      </c>
      <c r="U77" s="47">
        <v>200</v>
      </c>
    </row>
    <row r="78" spans="1:21" ht="12.75" x14ac:dyDescent="0.2">
      <c r="A78" s="22" t="s">
        <v>13</v>
      </c>
      <c r="B78" s="28">
        <v>0.72385999999999995</v>
      </c>
      <c r="C78" s="28">
        <v>0.77615000000000001</v>
      </c>
      <c r="D78" s="26">
        <v>5.5927299999999999E-2</v>
      </c>
      <c r="E78" s="26">
        <v>7.5767799999999996E-2</v>
      </c>
      <c r="F78" s="26">
        <v>9.6225500000000005E-2</v>
      </c>
      <c r="G78" s="28">
        <v>0.10079</v>
      </c>
      <c r="J78" s="30" t="s">
        <v>249</v>
      </c>
      <c r="K78" s="37">
        <v>269.77665625000003</v>
      </c>
      <c r="L78" s="22">
        <v>199.303</v>
      </c>
      <c r="M78" s="30">
        <f t="shared" ref="M78:M80" si="1">(L78/K78)*100</f>
        <v>73.877036942480061</v>
      </c>
      <c r="O78" s="7"/>
    </row>
    <row r="79" spans="1:21" ht="12.75" x14ac:dyDescent="0.2">
      <c r="A79" s="22" t="s">
        <v>14</v>
      </c>
      <c r="B79" s="29">
        <v>1.18709</v>
      </c>
      <c r="C79" s="29">
        <v>1.17553</v>
      </c>
      <c r="D79" s="26">
        <v>4.0400899999999997E-2</v>
      </c>
      <c r="E79" s="26">
        <v>2.5729999999999999E-2</v>
      </c>
      <c r="F79" s="28">
        <v>0.18712799999999999</v>
      </c>
      <c r="G79" s="26">
        <v>2.0788600000000001E-2</v>
      </c>
      <c r="J79" s="30" t="s">
        <v>252</v>
      </c>
      <c r="K79" s="37">
        <v>248.13221874999999</v>
      </c>
      <c r="L79" s="22">
        <v>177.93100000000001</v>
      </c>
      <c r="M79" s="30">
        <f t="shared" si="1"/>
        <v>71.708140481051501</v>
      </c>
      <c r="O79" s="7"/>
    </row>
    <row r="80" spans="1:21" ht="12.75" x14ac:dyDescent="0.2">
      <c r="A80" s="22" t="s">
        <v>15</v>
      </c>
      <c r="B80" s="22"/>
      <c r="C80" s="28">
        <v>0.10867499999999999</v>
      </c>
      <c r="D80" s="27">
        <v>-2.6867000000000002E-3</v>
      </c>
      <c r="E80" s="26">
        <v>1.6221699999999999E-2</v>
      </c>
      <c r="F80" s="28">
        <v>0.173073</v>
      </c>
      <c r="G80" s="26">
        <v>-1.71901E-2</v>
      </c>
      <c r="J80" s="30" t="s">
        <v>253</v>
      </c>
      <c r="K80" s="37">
        <v>200</v>
      </c>
      <c r="L80" s="30">
        <v>160.84700000000001</v>
      </c>
      <c r="M80" s="30">
        <f t="shared" si="1"/>
        <v>80.423500000000004</v>
      </c>
    </row>
    <row r="81" spans="1:17" ht="12.75" x14ac:dyDescent="0.2">
      <c r="P81" s="3"/>
    </row>
    <row r="82" spans="1:17" ht="12.75" x14ac:dyDescent="0.2">
      <c r="A82" s="22" t="s">
        <v>73</v>
      </c>
      <c r="B82" s="23">
        <v>1</v>
      </c>
      <c r="C82" s="23">
        <v>2</v>
      </c>
      <c r="D82" s="23">
        <v>3</v>
      </c>
      <c r="E82" s="23">
        <v>4</v>
      </c>
      <c r="F82" s="23">
        <v>5</v>
      </c>
      <c r="G82" s="23">
        <v>6</v>
      </c>
      <c r="H82" s="1"/>
      <c r="I82" s="1"/>
      <c r="J82" s="75" t="s">
        <v>272</v>
      </c>
      <c r="K82" s="75"/>
      <c r="L82" s="75"/>
      <c r="M82" s="75"/>
    </row>
    <row r="83" spans="1:17" ht="12.75" x14ac:dyDescent="0.2">
      <c r="A83" s="22" t="s">
        <v>8</v>
      </c>
      <c r="B83" s="25">
        <v>25.355399999999999</v>
      </c>
      <c r="C83" s="25">
        <v>16.0181</v>
      </c>
      <c r="D83" s="24">
        <v>142.78100000000001</v>
      </c>
      <c r="E83" s="24">
        <v>140.113</v>
      </c>
      <c r="F83" s="29">
        <v>4.0063199999999997</v>
      </c>
      <c r="G83" s="25">
        <v>26.361599999999999</v>
      </c>
      <c r="J83" s="51" t="s">
        <v>270</v>
      </c>
      <c r="K83" s="51"/>
      <c r="L83" s="51"/>
      <c r="M83" s="51"/>
    </row>
    <row r="84" spans="1:17" ht="12.75" x14ac:dyDescent="0.2">
      <c r="A84" s="22" t="s">
        <v>9</v>
      </c>
      <c r="B84" s="25">
        <v>49.3354</v>
      </c>
      <c r="C84" s="25">
        <v>41.621600000000001</v>
      </c>
      <c r="D84" s="24">
        <v>106.331</v>
      </c>
      <c r="E84" s="25">
        <v>95.9161</v>
      </c>
      <c r="F84" s="22" t="s">
        <v>94</v>
      </c>
      <c r="G84" s="24">
        <v>161.63800000000001</v>
      </c>
      <c r="J84" s="30" t="s">
        <v>216</v>
      </c>
      <c r="K84" s="37" t="s">
        <v>217</v>
      </c>
      <c r="L84" s="30" t="s">
        <v>218</v>
      </c>
      <c r="M84" s="30" t="s">
        <v>219</v>
      </c>
    </row>
    <row r="85" spans="1:17" ht="13.5" thickBot="1" x14ac:dyDescent="0.25">
      <c r="A85" s="22" t="s">
        <v>10</v>
      </c>
      <c r="B85" s="24">
        <v>119.98399999999999</v>
      </c>
      <c r="C85" s="24">
        <v>120.44</v>
      </c>
      <c r="D85" s="25">
        <v>89.250100000000003</v>
      </c>
      <c r="E85" s="25">
        <v>70.239400000000003</v>
      </c>
      <c r="F85" s="24">
        <v>154.249</v>
      </c>
      <c r="G85" s="24">
        <v>159.988</v>
      </c>
      <c r="J85" s="30">
        <v>2.5</v>
      </c>
      <c r="K85" s="22">
        <v>99.471699999999998</v>
      </c>
      <c r="L85" s="22">
        <f>J85*K85</f>
        <v>248.67925</v>
      </c>
      <c r="M85" s="30"/>
      <c r="O85" s="9"/>
    </row>
    <row r="86" spans="1:17" ht="12.75" x14ac:dyDescent="0.2">
      <c r="A86" s="22" t="s">
        <v>11</v>
      </c>
      <c r="B86" s="24">
        <v>177.16499999999999</v>
      </c>
      <c r="C86" s="24">
        <v>183.57</v>
      </c>
      <c r="D86" s="25">
        <v>58.114100000000001</v>
      </c>
      <c r="E86" s="25">
        <v>51.9024</v>
      </c>
      <c r="F86" s="24">
        <v>175.88800000000001</v>
      </c>
      <c r="G86" s="24">
        <v>222.71799999999999</v>
      </c>
      <c r="J86" s="30">
        <v>5</v>
      </c>
      <c r="K86" s="22">
        <v>69.532650000000004</v>
      </c>
      <c r="L86" s="22">
        <f t="shared" ref="L86:L89" si="2">J86*K86</f>
        <v>347.66325000000001</v>
      </c>
      <c r="M86" s="30"/>
      <c r="N86" s="63" t="s">
        <v>283</v>
      </c>
      <c r="O86" s="64"/>
      <c r="P86" s="64"/>
      <c r="Q86" s="65"/>
    </row>
    <row r="87" spans="1:17" ht="12.75" x14ac:dyDescent="0.2">
      <c r="A87" s="22" t="s">
        <v>12</v>
      </c>
      <c r="B87" s="24">
        <v>395.34399999999999</v>
      </c>
      <c r="C87" s="24">
        <v>424.78800000000001</v>
      </c>
      <c r="D87" s="22" t="s">
        <v>94</v>
      </c>
      <c r="E87" s="24">
        <v>143.24600000000001</v>
      </c>
      <c r="F87" s="24">
        <v>177.93100000000001</v>
      </c>
      <c r="G87" s="24">
        <v>160.84700000000001</v>
      </c>
      <c r="J87" s="30">
        <v>10</v>
      </c>
      <c r="K87" s="22">
        <v>44.057900000000004</v>
      </c>
      <c r="L87" s="22">
        <f t="shared" si="2"/>
        <v>440.57900000000006</v>
      </c>
      <c r="M87" s="30"/>
      <c r="N87" s="66"/>
      <c r="O87" s="67"/>
      <c r="P87" s="67"/>
      <c r="Q87" s="68"/>
    </row>
    <row r="88" spans="1:17" ht="13.5" thickBot="1" x14ac:dyDescent="0.25">
      <c r="A88" s="22" t="s">
        <v>13</v>
      </c>
      <c r="B88" s="24">
        <v>761.82100000000003</v>
      </c>
      <c r="C88" s="24">
        <v>832.51</v>
      </c>
      <c r="D88" s="25">
        <v>90.578400000000002</v>
      </c>
      <c r="E88" s="24">
        <v>108.36499999999999</v>
      </c>
      <c r="F88" s="24">
        <v>126.44199999999999</v>
      </c>
      <c r="G88" s="24">
        <v>130.45099999999999</v>
      </c>
      <c r="J88" s="30">
        <v>20</v>
      </c>
      <c r="K88" s="22">
        <v>15.183959999999999</v>
      </c>
      <c r="L88" s="22">
        <f t="shared" si="2"/>
        <v>303.67919999999998</v>
      </c>
      <c r="M88" s="30"/>
      <c r="N88" s="69"/>
      <c r="O88" s="70"/>
      <c r="P88" s="70"/>
      <c r="Q88" s="71"/>
    </row>
    <row r="89" spans="1:17" ht="12.75" x14ac:dyDescent="0.2">
      <c r="A89" s="22" t="s">
        <v>14</v>
      </c>
      <c r="B89" s="23">
        <v>1615.99</v>
      </c>
      <c r="C89" s="23">
        <v>1585.7</v>
      </c>
      <c r="D89" s="25">
        <v>76.393100000000004</v>
      </c>
      <c r="E89" s="25">
        <v>62.672199999999997</v>
      </c>
      <c r="F89" s="24">
        <v>205.715</v>
      </c>
      <c r="G89" s="25">
        <v>57.957900000000002</v>
      </c>
      <c r="J89" s="30">
        <v>40</v>
      </c>
      <c r="K89" s="22" t="s">
        <v>94</v>
      </c>
      <c r="L89" s="22" t="e">
        <f t="shared" si="2"/>
        <v>#VALUE!</v>
      </c>
      <c r="M89" s="30"/>
      <c r="O89" s="9"/>
      <c r="P89" s="3"/>
    </row>
    <row r="90" spans="1:17" ht="12.75" x14ac:dyDescent="0.2">
      <c r="A90" s="22" t="s">
        <v>15</v>
      </c>
      <c r="B90" s="22"/>
      <c r="C90" s="24">
        <v>137.358</v>
      </c>
      <c r="D90" s="25">
        <v>34.566699999999997</v>
      </c>
      <c r="E90" s="25">
        <v>53.549100000000003</v>
      </c>
      <c r="F90" s="24">
        <v>193.45699999999999</v>
      </c>
      <c r="G90" s="25">
        <v>18.621600000000001</v>
      </c>
    </row>
    <row r="91" spans="1:17" ht="12.75" x14ac:dyDescent="0.2">
      <c r="J91" s="51" t="s">
        <v>271</v>
      </c>
      <c r="K91" s="51"/>
      <c r="L91" s="51"/>
      <c r="M91" s="51"/>
    </row>
    <row r="92" spans="1:17" ht="12.75" x14ac:dyDescent="0.2">
      <c r="A92" s="22" t="s">
        <v>17</v>
      </c>
      <c r="B92" s="23">
        <v>1</v>
      </c>
      <c r="C92" s="23">
        <v>2</v>
      </c>
      <c r="D92" s="23">
        <v>3</v>
      </c>
      <c r="E92" s="23">
        <v>4</v>
      </c>
      <c r="F92" s="23">
        <v>5</v>
      </c>
      <c r="G92" s="23">
        <v>6</v>
      </c>
      <c r="H92" s="1"/>
      <c r="I92" s="1"/>
      <c r="J92" s="30"/>
      <c r="K92" s="37" t="s">
        <v>220</v>
      </c>
      <c r="L92" s="30" t="s">
        <v>221</v>
      </c>
      <c r="M92" s="30" t="s">
        <v>219</v>
      </c>
    </row>
    <row r="93" spans="1:17" ht="12.75" x14ac:dyDescent="0.2">
      <c r="A93" s="22" t="s">
        <v>8</v>
      </c>
      <c r="B93" s="22" t="s">
        <v>204</v>
      </c>
      <c r="C93" s="22" t="s">
        <v>204</v>
      </c>
      <c r="D93" s="22" t="s">
        <v>241</v>
      </c>
      <c r="E93" s="22" t="s">
        <v>241</v>
      </c>
      <c r="F93" s="22" t="s">
        <v>242</v>
      </c>
      <c r="G93" s="22" t="s">
        <v>242</v>
      </c>
      <c r="J93" s="30" t="s">
        <v>255</v>
      </c>
      <c r="K93" s="37">
        <v>287.03773749999999</v>
      </c>
      <c r="L93" s="22">
        <v>128.44649999999999</v>
      </c>
      <c r="M93" s="30">
        <f>(L93/K93)*100</f>
        <v>44.748994023825873</v>
      </c>
    </row>
    <row r="94" spans="1:17" ht="12.75" x14ac:dyDescent="0.2">
      <c r="A94" s="22" t="s">
        <v>9</v>
      </c>
      <c r="B94" s="22" t="s">
        <v>203</v>
      </c>
      <c r="C94" s="22" t="s">
        <v>203</v>
      </c>
      <c r="D94" s="22" t="s">
        <v>243</v>
      </c>
      <c r="E94" s="22" t="s">
        <v>243</v>
      </c>
      <c r="F94" s="22" t="s">
        <v>244</v>
      </c>
      <c r="G94" s="30" t="s">
        <v>245</v>
      </c>
      <c r="J94" s="30" t="s">
        <v>251</v>
      </c>
      <c r="K94" s="37">
        <v>238.55066249999999</v>
      </c>
      <c r="L94" s="24">
        <v>143.24600000000001</v>
      </c>
      <c r="M94" s="30">
        <f t="shared" ref="M94:M96" si="3">(L94/K94)*100</f>
        <v>60.048460355879342</v>
      </c>
    </row>
    <row r="95" spans="1:17" ht="12.75" x14ac:dyDescent="0.2">
      <c r="A95" s="22" t="s">
        <v>10</v>
      </c>
      <c r="B95" s="22" t="s">
        <v>202</v>
      </c>
      <c r="C95" s="22" t="s">
        <v>202</v>
      </c>
      <c r="D95" s="22" t="s">
        <v>246</v>
      </c>
      <c r="E95" s="22" t="s">
        <v>246</v>
      </c>
      <c r="F95" s="30" t="s">
        <v>247</v>
      </c>
      <c r="G95" s="30" t="s">
        <v>247</v>
      </c>
      <c r="J95" s="30" t="s">
        <v>245</v>
      </c>
      <c r="K95" s="37">
        <v>213.285965</v>
      </c>
      <c r="L95" s="24">
        <v>161.63800000000001</v>
      </c>
      <c r="M95" s="30">
        <f t="shared" si="3"/>
        <v>75.784639650339855</v>
      </c>
    </row>
    <row r="96" spans="1:17" ht="12.75" x14ac:dyDescent="0.2">
      <c r="A96" s="22" t="s">
        <v>11</v>
      </c>
      <c r="B96" s="22" t="s">
        <v>201</v>
      </c>
      <c r="C96" s="22" t="s">
        <v>201</v>
      </c>
      <c r="D96" s="22" t="s">
        <v>248</v>
      </c>
      <c r="E96" s="22" t="s">
        <v>248</v>
      </c>
      <c r="F96" s="30" t="s">
        <v>249</v>
      </c>
      <c r="G96" s="30" t="s">
        <v>249</v>
      </c>
      <c r="J96" s="30" t="s">
        <v>259</v>
      </c>
      <c r="K96" s="37">
        <v>200</v>
      </c>
      <c r="L96" s="30">
        <v>137.358</v>
      </c>
      <c r="M96" s="30">
        <f t="shared" si="3"/>
        <v>68.679000000000002</v>
      </c>
    </row>
    <row r="97" spans="1:13" ht="12.75" x14ac:dyDescent="0.2">
      <c r="A97" s="22" t="s">
        <v>12</v>
      </c>
      <c r="B97" s="22" t="s">
        <v>200</v>
      </c>
      <c r="C97" s="22" t="s">
        <v>200</v>
      </c>
      <c r="D97" s="22" t="s">
        <v>250</v>
      </c>
      <c r="E97" s="30" t="s">
        <v>251</v>
      </c>
      <c r="F97" s="30" t="s">
        <v>252</v>
      </c>
      <c r="G97" s="30" t="s">
        <v>253</v>
      </c>
    </row>
    <row r="98" spans="1:13" ht="12.75" x14ac:dyDescent="0.2">
      <c r="A98" s="22" t="s">
        <v>13</v>
      </c>
      <c r="B98" s="22" t="s">
        <v>199</v>
      </c>
      <c r="C98" s="22" t="s">
        <v>199</v>
      </c>
      <c r="D98" s="22" t="s">
        <v>254</v>
      </c>
      <c r="E98" s="22" t="s">
        <v>254</v>
      </c>
      <c r="F98" s="30" t="s">
        <v>255</v>
      </c>
      <c r="G98" s="30" t="s">
        <v>255</v>
      </c>
    </row>
    <row r="99" spans="1:13" ht="12.75" x14ac:dyDescent="0.2">
      <c r="A99" s="22" t="s">
        <v>14</v>
      </c>
      <c r="B99" s="22" t="s">
        <v>198</v>
      </c>
      <c r="C99" s="22" t="s">
        <v>198</v>
      </c>
      <c r="D99" s="22" t="s">
        <v>256</v>
      </c>
      <c r="E99" s="22" t="s">
        <v>256</v>
      </c>
      <c r="F99" s="39" t="s">
        <v>257</v>
      </c>
      <c r="G99" s="39" t="s">
        <v>258</v>
      </c>
    </row>
    <row r="100" spans="1:13" ht="12.75" x14ac:dyDescent="0.2">
      <c r="A100" s="22" t="s">
        <v>15</v>
      </c>
      <c r="B100" s="22" t="s">
        <v>53</v>
      </c>
      <c r="C100" s="30" t="s">
        <v>259</v>
      </c>
      <c r="D100" s="22" t="s">
        <v>260</v>
      </c>
      <c r="E100" s="22" t="s">
        <v>260</v>
      </c>
      <c r="F100" s="39" t="s">
        <v>261</v>
      </c>
      <c r="G100" s="39" t="s">
        <v>262</v>
      </c>
      <c r="J100" s="40"/>
      <c r="K100" s="40"/>
      <c r="L100" s="40"/>
      <c r="M100" s="40"/>
    </row>
    <row r="101" spans="1:13" ht="15" customHeight="1" x14ac:dyDescent="0.2">
      <c r="J101" s="41"/>
      <c r="K101" s="42"/>
      <c r="L101" s="42"/>
      <c r="M101" s="43"/>
    </row>
    <row r="102" spans="1:13" ht="12.75" x14ac:dyDescent="0.2">
      <c r="A102" t="s">
        <v>95</v>
      </c>
      <c r="J102" s="44"/>
      <c r="K102" s="42"/>
      <c r="L102" s="42"/>
      <c r="M102" s="12"/>
    </row>
    <row r="103" spans="1:13" s="45" customFormat="1" ht="15" customHeight="1" x14ac:dyDescent="0.2">
      <c r="D103" s="62" t="s">
        <v>275</v>
      </c>
      <c r="E103" s="62"/>
      <c r="F103" s="62"/>
      <c r="G103" s="62"/>
      <c r="J103" s="72"/>
      <c r="K103" s="73"/>
      <c r="L103" s="73"/>
      <c r="M103" s="74"/>
    </row>
    <row r="104" spans="1:13" s="45" customFormat="1" ht="15" customHeight="1" x14ac:dyDescent="0.2">
      <c r="D104" s="62" t="s">
        <v>274</v>
      </c>
      <c r="E104" s="62"/>
      <c r="F104" s="62"/>
      <c r="G104" s="62"/>
      <c r="J104" s="72"/>
      <c r="K104" s="73"/>
      <c r="L104" s="73"/>
      <c r="M104" s="74"/>
    </row>
    <row r="105" spans="1:13" s="45" customFormat="1" ht="15" customHeight="1" x14ac:dyDescent="0.2">
      <c r="D105" s="62" t="s">
        <v>263</v>
      </c>
      <c r="E105" s="62"/>
      <c r="F105" s="62"/>
      <c r="G105" s="62"/>
    </row>
    <row r="106" spans="1:13" s="45" customFormat="1" ht="15" customHeight="1" x14ac:dyDescent="0.2">
      <c r="D106" s="62" t="s">
        <v>264</v>
      </c>
      <c r="E106" s="62"/>
      <c r="F106" s="62"/>
      <c r="G106" s="62"/>
    </row>
    <row r="107" spans="1:13" s="45" customFormat="1" ht="15" customHeight="1" x14ac:dyDescent="0.2">
      <c r="D107" s="62" t="s">
        <v>265</v>
      </c>
      <c r="E107" s="62"/>
      <c r="F107" s="62"/>
      <c r="G107" s="62"/>
    </row>
    <row r="108" spans="1:13" s="45" customFormat="1" ht="15" customHeight="1" x14ac:dyDescent="0.2">
      <c r="D108" s="62" t="s">
        <v>266</v>
      </c>
      <c r="E108" s="62"/>
      <c r="F108" s="62"/>
      <c r="G108" s="62"/>
    </row>
  </sheetData>
  <mergeCells count="18">
    <mergeCell ref="J66:M66"/>
    <mergeCell ref="J67:M67"/>
    <mergeCell ref="J75:M75"/>
    <mergeCell ref="J82:M82"/>
    <mergeCell ref="J83:M83"/>
    <mergeCell ref="R75:U75"/>
    <mergeCell ref="N69:Q71"/>
    <mergeCell ref="N86:Q88"/>
    <mergeCell ref="D108:G108"/>
    <mergeCell ref="J103:J104"/>
    <mergeCell ref="K103:L104"/>
    <mergeCell ref="M103:M104"/>
    <mergeCell ref="J91:M91"/>
    <mergeCell ref="D103:G103"/>
    <mergeCell ref="D104:G104"/>
    <mergeCell ref="D105:G105"/>
    <mergeCell ref="D106:G106"/>
    <mergeCell ref="D107:G10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98</v>
      </c>
    </row>
    <row r="3" spans="1:5" ht="15" customHeight="1" x14ac:dyDescent="0.2">
      <c r="B3" t="s">
        <v>99</v>
      </c>
      <c r="E3" t="s">
        <v>100</v>
      </c>
    </row>
    <row r="4" spans="1:5" ht="15" customHeight="1" x14ac:dyDescent="0.2">
      <c r="B4" t="s">
        <v>101</v>
      </c>
      <c r="E4" t="s">
        <v>102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103</v>
      </c>
    </row>
    <row r="3" spans="1:5" ht="15" customHeight="1" x14ac:dyDescent="0.2">
      <c r="B3" t="s">
        <v>104</v>
      </c>
      <c r="E3" t="s">
        <v>1</v>
      </c>
    </row>
    <row r="4" spans="1:5" ht="15" customHeight="1" x14ac:dyDescent="0.2">
      <c r="B4" t="s">
        <v>105</v>
      </c>
      <c r="E4" t="s">
        <v>106</v>
      </c>
    </row>
    <row r="5" spans="1:5" ht="15" customHeight="1" x14ac:dyDescent="0.2">
      <c r="B5" t="s">
        <v>107</v>
      </c>
      <c r="E5" t="s">
        <v>108</v>
      </c>
    </row>
    <row r="6" spans="1:5" ht="15" customHeight="1" x14ac:dyDescent="0.2">
      <c r="B6" t="s">
        <v>109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Instrument information"/>
  <dimension ref="A1:E93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110</v>
      </c>
    </row>
    <row r="3" spans="1:5" ht="15" customHeight="1" x14ac:dyDescent="0.2">
      <c r="B3" t="s">
        <v>111</v>
      </c>
      <c r="E3" t="s">
        <v>112</v>
      </c>
    </row>
    <row r="4" spans="1:5" ht="15" customHeight="1" x14ac:dyDescent="0.2">
      <c r="B4" t="s">
        <v>113</v>
      </c>
      <c r="E4" t="s">
        <v>114</v>
      </c>
    </row>
    <row r="5" spans="1:5" ht="15" customHeight="1" x14ac:dyDescent="0.2">
      <c r="B5" t="s">
        <v>115</v>
      </c>
      <c r="E5" t="s">
        <v>116</v>
      </c>
    </row>
    <row r="7" spans="1:5" ht="15" customHeight="1" x14ac:dyDescent="0.2">
      <c r="B7" t="s">
        <v>117</v>
      </c>
    </row>
    <row r="9" spans="1:5" ht="15" customHeight="1" x14ac:dyDescent="0.2">
      <c r="B9" t="s">
        <v>118</v>
      </c>
    </row>
    <row r="10" spans="1:5" ht="15" customHeight="1" x14ac:dyDescent="0.2">
      <c r="C10" t="s">
        <v>119</v>
      </c>
      <c r="E10" t="s">
        <v>120</v>
      </c>
    </row>
    <row r="11" spans="1:5" ht="15" customHeight="1" x14ac:dyDescent="0.2">
      <c r="C11" t="s">
        <v>111</v>
      </c>
      <c r="E11" t="s">
        <v>121</v>
      </c>
    </row>
    <row r="12" spans="1:5" ht="15" customHeight="1" x14ac:dyDescent="0.2">
      <c r="C12" t="s">
        <v>122</v>
      </c>
      <c r="E12" t="s">
        <v>123</v>
      </c>
    </row>
    <row r="13" spans="1:5" ht="15" customHeight="1" x14ac:dyDescent="0.2">
      <c r="C13" t="s">
        <v>124</v>
      </c>
      <c r="E13" t="s">
        <v>125</v>
      </c>
    </row>
    <row r="14" spans="1:5" ht="15" customHeight="1" x14ac:dyDescent="0.2">
      <c r="C14" t="s">
        <v>126</v>
      </c>
      <c r="E14" t="s">
        <v>127</v>
      </c>
    </row>
    <row r="15" spans="1:5" ht="15" customHeight="1" x14ac:dyDescent="0.2">
      <c r="C15" t="s">
        <v>128</v>
      </c>
      <c r="E15" t="s">
        <v>129</v>
      </c>
    </row>
    <row r="17" spans="2:5" ht="15" customHeight="1" x14ac:dyDescent="0.2">
      <c r="B17" t="s">
        <v>118</v>
      </c>
    </row>
    <row r="18" spans="2:5" ht="15" customHeight="1" x14ac:dyDescent="0.2">
      <c r="C18" t="s">
        <v>119</v>
      </c>
      <c r="E18" t="s">
        <v>130</v>
      </c>
    </row>
    <row r="19" spans="2:5" ht="15" customHeight="1" x14ac:dyDescent="0.2">
      <c r="C19" t="s">
        <v>111</v>
      </c>
      <c r="E19" t="s">
        <v>131</v>
      </c>
    </row>
    <row r="20" spans="2:5" ht="15" customHeight="1" x14ac:dyDescent="0.2">
      <c r="C20" t="s">
        <v>122</v>
      </c>
      <c r="E20" t="s">
        <v>132</v>
      </c>
    </row>
    <row r="21" spans="2:5" ht="15" customHeight="1" x14ac:dyDescent="0.2">
      <c r="C21" t="s">
        <v>124</v>
      </c>
      <c r="E21" t="s">
        <v>133</v>
      </c>
    </row>
    <row r="22" spans="2:5" ht="15" customHeight="1" x14ac:dyDescent="0.2">
      <c r="C22" t="s">
        <v>126</v>
      </c>
      <c r="E22" t="s">
        <v>127</v>
      </c>
    </row>
    <row r="23" spans="2:5" ht="15" customHeight="1" x14ac:dyDescent="0.2">
      <c r="C23" t="s">
        <v>128</v>
      </c>
      <c r="E23" t="s">
        <v>129</v>
      </c>
    </row>
    <row r="25" spans="2:5" ht="15" customHeight="1" x14ac:dyDescent="0.2">
      <c r="B25" t="s">
        <v>118</v>
      </c>
    </row>
    <row r="26" spans="2:5" ht="15" customHeight="1" x14ac:dyDescent="0.2">
      <c r="C26" t="s">
        <v>119</v>
      </c>
      <c r="E26" t="s">
        <v>134</v>
      </c>
    </row>
    <row r="27" spans="2:5" ht="15" customHeight="1" x14ac:dyDescent="0.2">
      <c r="C27" t="s">
        <v>111</v>
      </c>
      <c r="E27" t="s">
        <v>135</v>
      </c>
    </row>
    <row r="28" spans="2:5" ht="15" customHeight="1" x14ac:dyDescent="0.2">
      <c r="C28" t="s">
        <v>122</v>
      </c>
      <c r="E28" t="s">
        <v>136</v>
      </c>
    </row>
    <row r="29" spans="2:5" ht="15" customHeight="1" x14ac:dyDescent="0.2">
      <c r="C29" t="s">
        <v>124</v>
      </c>
      <c r="E29" t="s">
        <v>133</v>
      </c>
    </row>
    <row r="30" spans="2:5" ht="15" customHeight="1" x14ac:dyDescent="0.2">
      <c r="C30" t="s">
        <v>126</v>
      </c>
      <c r="E30" t="s">
        <v>127</v>
      </c>
    </row>
    <row r="31" spans="2:5" ht="15" customHeight="1" x14ac:dyDescent="0.2">
      <c r="C31" t="s">
        <v>128</v>
      </c>
      <c r="E31" t="s">
        <v>129</v>
      </c>
    </row>
    <row r="33" spans="2:5" ht="15" customHeight="1" x14ac:dyDescent="0.2">
      <c r="B33" t="s">
        <v>137</v>
      </c>
    </row>
    <row r="34" spans="2:5" ht="15" customHeight="1" x14ac:dyDescent="0.2">
      <c r="C34" t="s">
        <v>138</v>
      </c>
      <c r="E34" t="s">
        <v>139</v>
      </c>
    </row>
    <row r="35" spans="2:5" ht="15" customHeight="1" x14ac:dyDescent="0.2">
      <c r="C35" t="s">
        <v>111</v>
      </c>
      <c r="E35" t="s">
        <v>140</v>
      </c>
    </row>
    <row r="36" spans="2:5" ht="15" customHeight="1" x14ac:dyDescent="0.2">
      <c r="C36" t="s">
        <v>141</v>
      </c>
      <c r="E36" t="s">
        <v>142</v>
      </c>
    </row>
    <row r="37" spans="2:5" ht="15" customHeight="1" x14ac:dyDescent="0.2">
      <c r="C37" t="s">
        <v>124</v>
      </c>
      <c r="E37" t="s">
        <v>143</v>
      </c>
    </row>
    <row r="38" spans="2:5" ht="15" customHeight="1" x14ac:dyDescent="0.2">
      <c r="C38" t="s">
        <v>126</v>
      </c>
      <c r="E38" t="s">
        <v>127</v>
      </c>
    </row>
    <row r="39" spans="2:5" ht="12.75" x14ac:dyDescent="0.2">
      <c r="C39" t="s">
        <v>128</v>
      </c>
      <c r="E39" t="s">
        <v>129</v>
      </c>
    </row>
    <row r="40" spans="2:5" ht="12.75" x14ac:dyDescent="0.2"/>
    <row r="41" spans="2:5" ht="12.75" x14ac:dyDescent="0.2">
      <c r="B41" t="s">
        <v>137</v>
      </c>
    </row>
    <row r="42" spans="2:5" ht="12.75" x14ac:dyDescent="0.2">
      <c r="C42" t="s">
        <v>138</v>
      </c>
      <c r="E42" t="s">
        <v>144</v>
      </c>
    </row>
    <row r="43" spans="2:5" ht="12.75" x14ac:dyDescent="0.2">
      <c r="C43" t="s">
        <v>111</v>
      </c>
      <c r="E43" t="s">
        <v>145</v>
      </c>
    </row>
    <row r="44" spans="2:5" ht="12.75" x14ac:dyDescent="0.2">
      <c r="C44" t="s">
        <v>141</v>
      </c>
      <c r="E44" t="s">
        <v>146</v>
      </c>
    </row>
    <row r="45" spans="2:5" ht="12.75" x14ac:dyDescent="0.2">
      <c r="C45" t="s">
        <v>124</v>
      </c>
      <c r="E45" t="s">
        <v>133</v>
      </c>
    </row>
    <row r="46" spans="2:5" ht="12.75" x14ac:dyDescent="0.2">
      <c r="C46" t="s">
        <v>126</v>
      </c>
      <c r="E46" t="s">
        <v>127</v>
      </c>
    </row>
    <row r="47" spans="2:5" ht="12.75" x14ac:dyDescent="0.2">
      <c r="C47" t="s">
        <v>128</v>
      </c>
      <c r="E47" t="s">
        <v>129</v>
      </c>
    </row>
    <row r="48" spans="2:5" ht="12.75" x14ac:dyDescent="0.2"/>
    <row r="49" spans="2:5" ht="12.75" x14ac:dyDescent="0.2">
      <c r="B49" t="s">
        <v>137</v>
      </c>
    </row>
    <row r="50" spans="2:5" ht="12.75" x14ac:dyDescent="0.2">
      <c r="C50" t="s">
        <v>138</v>
      </c>
      <c r="E50" t="s">
        <v>147</v>
      </c>
    </row>
    <row r="51" spans="2:5" ht="12.75" x14ac:dyDescent="0.2">
      <c r="C51" t="s">
        <v>111</v>
      </c>
      <c r="E51" t="s">
        <v>148</v>
      </c>
    </row>
    <row r="52" spans="2:5" ht="12.75" x14ac:dyDescent="0.2">
      <c r="C52" t="s">
        <v>141</v>
      </c>
      <c r="E52" t="s">
        <v>149</v>
      </c>
    </row>
    <row r="53" spans="2:5" ht="12.75" x14ac:dyDescent="0.2">
      <c r="C53" t="s">
        <v>124</v>
      </c>
      <c r="E53" t="s">
        <v>150</v>
      </c>
    </row>
    <row r="54" spans="2:5" ht="12.75" x14ac:dyDescent="0.2">
      <c r="C54" t="s">
        <v>126</v>
      </c>
      <c r="E54" t="s">
        <v>127</v>
      </c>
    </row>
    <row r="55" spans="2:5" ht="12.75" x14ac:dyDescent="0.2">
      <c r="C55" t="s">
        <v>128</v>
      </c>
      <c r="E55" t="s">
        <v>129</v>
      </c>
    </row>
    <row r="56" spans="2:5" ht="12.75" x14ac:dyDescent="0.2"/>
    <row r="57" spans="2:5" ht="12.75" x14ac:dyDescent="0.2">
      <c r="B57" t="s">
        <v>151</v>
      </c>
    </row>
    <row r="58" spans="2:5" ht="12.75" x14ac:dyDescent="0.2">
      <c r="C58" t="s">
        <v>111</v>
      </c>
      <c r="E58" t="s">
        <v>152</v>
      </c>
    </row>
    <row r="59" spans="2:5" ht="12.75" x14ac:dyDescent="0.2">
      <c r="C59" t="s">
        <v>119</v>
      </c>
      <c r="E59" t="s">
        <v>120</v>
      </c>
    </row>
    <row r="60" spans="2:5" ht="12.75" x14ac:dyDescent="0.2">
      <c r="C60" t="s">
        <v>111</v>
      </c>
      <c r="E60" t="s">
        <v>121</v>
      </c>
    </row>
    <row r="61" spans="2:5" ht="12.75" x14ac:dyDescent="0.2">
      <c r="C61" t="s">
        <v>122</v>
      </c>
      <c r="E61" t="s">
        <v>123</v>
      </c>
    </row>
    <row r="62" spans="2:5" ht="12.75" x14ac:dyDescent="0.2">
      <c r="C62" t="s">
        <v>138</v>
      </c>
      <c r="E62" t="s">
        <v>139</v>
      </c>
    </row>
    <row r="63" spans="2:5" ht="12.75" x14ac:dyDescent="0.2">
      <c r="C63" t="s">
        <v>111</v>
      </c>
      <c r="E63" t="s">
        <v>140</v>
      </c>
    </row>
    <row r="64" spans="2:5" ht="12.75" x14ac:dyDescent="0.2">
      <c r="C64" t="s">
        <v>141</v>
      </c>
      <c r="E64" t="s">
        <v>142</v>
      </c>
    </row>
    <row r="65" spans="2:5" ht="12.75" x14ac:dyDescent="0.2">
      <c r="C65" t="s">
        <v>126</v>
      </c>
      <c r="E65" t="s">
        <v>127</v>
      </c>
    </row>
    <row r="66" spans="2:5" ht="12.75" x14ac:dyDescent="0.2">
      <c r="C66" t="s">
        <v>153</v>
      </c>
      <c r="E66" t="s">
        <v>154</v>
      </c>
    </row>
    <row r="67" spans="2:5" ht="12.75" x14ac:dyDescent="0.2"/>
    <row r="68" spans="2:5" ht="12.75" x14ac:dyDescent="0.2">
      <c r="B68" t="s">
        <v>151</v>
      </c>
    </row>
    <row r="69" spans="2:5" ht="12.75" x14ac:dyDescent="0.2">
      <c r="C69" t="s">
        <v>111</v>
      </c>
      <c r="E69" t="s">
        <v>155</v>
      </c>
    </row>
    <row r="70" spans="2:5" ht="12.75" x14ac:dyDescent="0.2">
      <c r="C70" t="s">
        <v>119</v>
      </c>
      <c r="E70" t="s">
        <v>130</v>
      </c>
    </row>
    <row r="71" spans="2:5" ht="12.75" x14ac:dyDescent="0.2">
      <c r="C71" t="s">
        <v>111</v>
      </c>
      <c r="E71" t="s">
        <v>131</v>
      </c>
    </row>
    <row r="72" spans="2:5" ht="12.75" x14ac:dyDescent="0.2">
      <c r="C72" t="s">
        <v>122</v>
      </c>
      <c r="E72" t="s">
        <v>132</v>
      </c>
    </row>
    <row r="73" spans="2:5" ht="12.75" x14ac:dyDescent="0.2">
      <c r="C73" t="s">
        <v>138</v>
      </c>
      <c r="E73" t="s">
        <v>144</v>
      </c>
    </row>
    <row r="74" spans="2:5" ht="12.75" x14ac:dyDescent="0.2">
      <c r="C74" t="s">
        <v>111</v>
      </c>
      <c r="E74" t="s">
        <v>145</v>
      </c>
    </row>
    <row r="75" spans="2:5" ht="12.75" x14ac:dyDescent="0.2">
      <c r="C75" t="s">
        <v>141</v>
      </c>
      <c r="E75" t="s">
        <v>146</v>
      </c>
    </row>
    <row r="76" spans="2:5" ht="12.75" x14ac:dyDescent="0.2">
      <c r="C76" t="s">
        <v>126</v>
      </c>
      <c r="E76" t="s">
        <v>127</v>
      </c>
    </row>
    <row r="77" spans="2:5" ht="12.75" x14ac:dyDescent="0.2">
      <c r="C77" t="s">
        <v>153</v>
      </c>
      <c r="E77" t="s">
        <v>154</v>
      </c>
    </row>
    <row r="78" spans="2:5" ht="12.75" x14ac:dyDescent="0.2"/>
    <row r="79" spans="2:5" ht="12.75" x14ac:dyDescent="0.2">
      <c r="B79" t="s">
        <v>151</v>
      </c>
    </row>
    <row r="80" spans="2:5" ht="12.75" x14ac:dyDescent="0.2">
      <c r="C80" t="s">
        <v>111</v>
      </c>
      <c r="E80" t="s">
        <v>156</v>
      </c>
    </row>
    <row r="81" spans="3:5" ht="12.75" x14ac:dyDescent="0.2">
      <c r="C81" t="s">
        <v>119</v>
      </c>
      <c r="E81" t="s">
        <v>134</v>
      </c>
    </row>
    <row r="82" spans="3:5" ht="12.75" x14ac:dyDescent="0.2">
      <c r="C82" t="s">
        <v>111</v>
      </c>
      <c r="E82" t="s">
        <v>135</v>
      </c>
    </row>
    <row r="83" spans="3:5" ht="12.75" x14ac:dyDescent="0.2">
      <c r="C83" t="s">
        <v>122</v>
      </c>
      <c r="E83" t="s">
        <v>136</v>
      </c>
    </row>
    <row r="84" spans="3:5" ht="12.75" x14ac:dyDescent="0.2">
      <c r="C84" t="s">
        <v>138</v>
      </c>
      <c r="E84" t="s">
        <v>147</v>
      </c>
    </row>
    <row r="85" spans="3:5" ht="12.75" x14ac:dyDescent="0.2">
      <c r="C85" t="s">
        <v>111</v>
      </c>
      <c r="E85" t="s">
        <v>148</v>
      </c>
    </row>
    <row r="86" spans="3:5" ht="12.75" x14ac:dyDescent="0.2">
      <c r="C86" t="s">
        <v>141</v>
      </c>
      <c r="E86" t="s">
        <v>149</v>
      </c>
    </row>
    <row r="87" spans="3:5" ht="12.75" x14ac:dyDescent="0.2">
      <c r="C87" t="s">
        <v>126</v>
      </c>
      <c r="E87" t="s">
        <v>127</v>
      </c>
    </row>
    <row r="88" spans="3:5" ht="12.75" x14ac:dyDescent="0.2">
      <c r="C88" t="s">
        <v>153</v>
      </c>
      <c r="E88" t="s">
        <v>154</v>
      </c>
    </row>
    <row r="89" spans="3:5" ht="12.75" x14ac:dyDescent="0.2"/>
    <row r="90" spans="3:5" ht="12.75" x14ac:dyDescent="0.2">
      <c r="C90" t="s">
        <v>157</v>
      </c>
      <c r="E90" t="s">
        <v>127</v>
      </c>
    </row>
    <row r="91" spans="3:5" ht="12.75" x14ac:dyDescent="0.2">
      <c r="C91" t="s">
        <v>158</v>
      </c>
      <c r="E91" t="s">
        <v>159</v>
      </c>
    </row>
    <row r="92" spans="3:5" ht="12.75" x14ac:dyDescent="0.2">
      <c r="C92" t="s">
        <v>160</v>
      </c>
      <c r="E92" t="s">
        <v>127</v>
      </c>
    </row>
    <row r="93" spans="3:5" ht="12.75" x14ac:dyDescent="0.2">
      <c r="C93" t="s">
        <v>161</v>
      </c>
      <c r="E93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rotocol parameters"/>
  <dimension ref="A1:E13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5.85546875" customWidth="1"/>
  </cols>
  <sheetData>
    <row r="1" spans="1:5" ht="15" customHeight="1" x14ac:dyDescent="0.2">
      <c r="A1" t="s">
        <v>162</v>
      </c>
    </row>
    <row r="3" spans="1:5" ht="15" customHeight="1" x14ac:dyDescent="0.2">
      <c r="B3" t="s">
        <v>163</v>
      </c>
      <c r="E3" t="s">
        <v>154</v>
      </c>
    </row>
    <row r="4" spans="1:5" ht="15" customHeight="1" x14ac:dyDescent="0.2">
      <c r="B4" t="s">
        <v>164</v>
      </c>
      <c r="E4" t="s">
        <v>159</v>
      </c>
    </row>
    <row r="5" spans="1:5" ht="15" customHeight="1" x14ac:dyDescent="0.2">
      <c r="B5" t="s">
        <v>165</v>
      </c>
      <c r="E5" t="s">
        <v>159</v>
      </c>
    </row>
    <row r="7" spans="1:5" ht="15" customHeight="1" x14ac:dyDescent="0.2">
      <c r="A7" t="s">
        <v>4</v>
      </c>
    </row>
    <row r="9" spans="1:5" ht="15" customHeight="1" x14ac:dyDescent="0.2">
      <c r="B9" t="s">
        <v>166</v>
      </c>
      <c r="E9" t="s">
        <v>142</v>
      </c>
    </row>
    <row r="10" spans="1:5" ht="15" customHeight="1" x14ac:dyDescent="0.2">
      <c r="B10" t="s">
        <v>166</v>
      </c>
      <c r="E10" t="s">
        <v>167</v>
      </c>
    </row>
    <row r="11" spans="1:5" ht="15" customHeight="1" x14ac:dyDescent="0.2">
      <c r="B11" t="s">
        <v>168</v>
      </c>
      <c r="E11" t="s">
        <v>159</v>
      </c>
    </row>
    <row r="12" spans="1:5" ht="15" customHeight="1" x14ac:dyDescent="0.2">
      <c r="B12" t="s">
        <v>169</v>
      </c>
      <c r="E12" t="s">
        <v>170</v>
      </c>
    </row>
    <row r="13" spans="1:5" ht="15" customHeight="1" x14ac:dyDescent="0.2">
      <c r="B13" t="s">
        <v>171</v>
      </c>
      <c r="E13" t="s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Run log"/>
  <dimension ref="A1:E12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2" customWidth="1"/>
    <col min="4" max="4" width="11.85546875" customWidth="1"/>
  </cols>
  <sheetData>
    <row r="1" spans="1:5" ht="15" customHeight="1" x14ac:dyDescent="0.2">
      <c r="A1" t="s">
        <v>172</v>
      </c>
    </row>
    <row r="3" spans="1:5" ht="15" customHeight="1" x14ac:dyDescent="0.2">
      <c r="B3" s="11" t="s">
        <v>173</v>
      </c>
      <c r="C3" s="11" t="s">
        <v>174</v>
      </c>
      <c r="D3" s="11" t="s">
        <v>175</v>
      </c>
      <c r="E3" s="11"/>
    </row>
    <row r="4" spans="1:5" ht="15" customHeight="1" x14ac:dyDescent="0.2">
      <c r="B4" t="s">
        <v>2</v>
      </c>
      <c r="C4" t="s">
        <v>176</v>
      </c>
    </row>
    <row r="5" spans="1:5" ht="15" customHeight="1" x14ac:dyDescent="0.2">
      <c r="B5" t="s">
        <v>2</v>
      </c>
      <c r="C5" t="s">
        <v>177</v>
      </c>
      <c r="D5" t="s">
        <v>178</v>
      </c>
    </row>
    <row r="6" spans="1:5" ht="15" customHeight="1" x14ac:dyDescent="0.2">
      <c r="B6" t="s">
        <v>179</v>
      </c>
      <c r="C6" t="s">
        <v>180</v>
      </c>
    </row>
    <row r="7" spans="1:5" ht="15" customHeight="1" x14ac:dyDescent="0.2">
      <c r="B7" t="s">
        <v>181</v>
      </c>
      <c r="C7" t="s">
        <v>177</v>
      </c>
      <c r="D7" t="s">
        <v>178</v>
      </c>
    </row>
    <row r="8" spans="1:5" ht="15" customHeight="1" x14ac:dyDescent="0.2">
      <c r="B8" t="s">
        <v>182</v>
      </c>
      <c r="C8" t="s">
        <v>177</v>
      </c>
      <c r="D8" t="s">
        <v>178</v>
      </c>
    </row>
    <row r="9" spans="1:5" ht="15" customHeight="1" x14ac:dyDescent="0.2">
      <c r="B9" t="s">
        <v>183</v>
      </c>
      <c r="C9" t="s">
        <v>184</v>
      </c>
    </row>
    <row r="10" spans="1:5" ht="15" customHeight="1" x14ac:dyDescent="0.2">
      <c r="B10" t="s">
        <v>183</v>
      </c>
      <c r="C10" t="s">
        <v>177</v>
      </c>
      <c r="D10" t="s">
        <v>178</v>
      </c>
    </row>
    <row r="11" spans="1:5" ht="15" customHeight="1" x14ac:dyDescent="0.2">
      <c r="B11" t="s">
        <v>185</v>
      </c>
      <c r="C11" t="s">
        <v>186</v>
      </c>
    </row>
    <row r="12" spans="1:5" ht="15" customHeight="1" x14ac:dyDescent="0.2">
      <c r="A12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111</v>
      </c>
      <c r="B1" t="s">
        <v>6</v>
      </c>
    </row>
    <row r="2" spans="1:13" ht="15" customHeight="1" x14ac:dyDescent="0.2">
      <c r="A2" t="s">
        <v>187</v>
      </c>
      <c r="B2" t="s">
        <v>188</v>
      </c>
    </row>
    <row r="4" spans="1:13" ht="15" customHeight="1" x14ac:dyDescent="0.2">
      <c r="B4" s="12">
        <v>1</v>
      </c>
      <c r="C4" s="12">
        <v>2</v>
      </c>
      <c r="D4" s="12">
        <v>3</v>
      </c>
      <c r="E4" s="12">
        <v>4</v>
      </c>
      <c r="F4" s="12">
        <v>5</v>
      </c>
      <c r="G4" s="12">
        <v>6</v>
      </c>
      <c r="H4" s="12">
        <v>7</v>
      </c>
      <c r="I4" s="12">
        <v>8</v>
      </c>
      <c r="J4" s="12">
        <v>9</v>
      </c>
      <c r="K4" s="12">
        <v>10</v>
      </c>
      <c r="L4" s="12">
        <v>11</v>
      </c>
      <c r="M4" s="12">
        <v>12</v>
      </c>
    </row>
    <row r="5" spans="1:13" ht="15" customHeight="1" x14ac:dyDescent="0.2">
      <c r="A5" s="77" t="s">
        <v>8</v>
      </c>
      <c r="B5" s="13" t="s">
        <v>18</v>
      </c>
      <c r="C5" s="13" t="s">
        <v>18</v>
      </c>
      <c r="D5" s="14" t="s">
        <v>19</v>
      </c>
      <c r="E5" s="14" t="s">
        <v>20</v>
      </c>
      <c r="F5" s="14" t="s">
        <v>21</v>
      </c>
      <c r="G5" s="14" t="s">
        <v>22</v>
      </c>
      <c r="H5" s="76"/>
      <c r="I5" s="76"/>
      <c r="J5" s="76"/>
      <c r="K5" s="76"/>
      <c r="L5" s="76"/>
      <c r="M5" s="76"/>
    </row>
    <row r="6" spans="1:13" ht="15" customHeight="1" x14ac:dyDescent="0.2">
      <c r="A6" s="76"/>
      <c r="B6" s="15" t="s">
        <v>189</v>
      </c>
      <c r="C6" s="15" t="s">
        <v>189</v>
      </c>
      <c r="D6" s="16" t="s">
        <v>189</v>
      </c>
      <c r="E6" s="16" t="s">
        <v>189</v>
      </c>
      <c r="F6" s="16" t="s">
        <v>189</v>
      </c>
      <c r="G6" s="16" t="s">
        <v>189</v>
      </c>
      <c r="H6" s="76"/>
      <c r="I6" s="76"/>
      <c r="J6" s="76"/>
      <c r="K6" s="76"/>
      <c r="L6" s="76"/>
      <c r="M6" s="76"/>
    </row>
    <row r="7" spans="1:13" ht="15" customHeight="1" x14ac:dyDescent="0.2">
      <c r="A7" s="76"/>
      <c r="B7" s="17" t="s">
        <v>190</v>
      </c>
      <c r="C7" s="17" t="s">
        <v>190</v>
      </c>
      <c r="D7" s="18" t="s">
        <v>191</v>
      </c>
      <c r="E7" s="18" t="s">
        <v>191</v>
      </c>
      <c r="F7" s="18" t="s">
        <v>191</v>
      </c>
      <c r="G7" s="18" t="s">
        <v>191</v>
      </c>
      <c r="H7" s="76"/>
      <c r="I7" s="76"/>
      <c r="J7" s="76"/>
      <c r="K7" s="76"/>
      <c r="L7" s="76"/>
      <c r="M7" s="76"/>
    </row>
    <row r="8" spans="1:13" ht="15" customHeight="1" x14ac:dyDescent="0.2">
      <c r="A8" s="77" t="s">
        <v>9</v>
      </c>
      <c r="B8" s="13" t="s">
        <v>23</v>
      </c>
      <c r="C8" s="13" t="s">
        <v>23</v>
      </c>
      <c r="D8" s="14" t="s">
        <v>24</v>
      </c>
      <c r="E8" s="14" t="s">
        <v>25</v>
      </c>
      <c r="F8" s="14" t="s">
        <v>26</v>
      </c>
      <c r="G8" s="14" t="s">
        <v>27</v>
      </c>
      <c r="H8" s="76"/>
      <c r="I8" s="76"/>
      <c r="J8" s="76"/>
      <c r="K8" s="76"/>
      <c r="L8" s="76"/>
      <c r="M8" s="76"/>
    </row>
    <row r="9" spans="1:13" ht="15" customHeight="1" x14ac:dyDescent="0.2">
      <c r="A9" s="76"/>
      <c r="B9" s="15" t="s">
        <v>189</v>
      </c>
      <c r="C9" s="15" t="s">
        <v>189</v>
      </c>
      <c r="D9" s="16" t="s">
        <v>189</v>
      </c>
      <c r="E9" s="16" t="s">
        <v>189</v>
      </c>
      <c r="F9" s="16" t="s">
        <v>189</v>
      </c>
      <c r="G9" s="16" t="s">
        <v>189</v>
      </c>
      <c r="H9" s="76"/>
      <c r="I9" s="76"/>
      <c r="J9" s="76"/>
      <c r="K9" s="76"/>
      <c r="L9" s="76"/>
      <c r="M9" s="76"/>
    </row>
    <row r="10" spans="1:13" ht="15" customHeight="1" x14ac:dyDescent="0.2">
      <c r="A10" s="76"/>
      <c r="B10" s="17" t="s">
        <v>192</v>
      </c>
      <c r="C10" s="17" t="s">
        <v>192</v>
      </c>
      <c r="D10" s="18" t="s">
        <v>191</v>
      </c>
      <c r="E10" s="18" t="s">
        <v>191</v>
      </c>
      <c r="F10" s="18" t="s">
        <v>191</v>
      </c>
      <c r="G10" s="18" t="s">
        <v>191</v>
      </c>
      <c r="H10" s="76"/>
      <c r="I10" s="76"/>
      <c r="J10" s="76"/>
      <c r="K10" s="76"/>
      <c r="L10" s="76"/>
      <c r="M10" s="76"/>
    </row>
    <row r="11" spans="1:13" ht="15" customHeight="1" x14ac:dyDescent="0.2">
      <c r="A11" s="77" t="s">
        <v>10</v>
      </c>
      <c r="B11" s="13" t="s">
        <v>28</v>
      </c>
      <c r="C11" s="13" t="s">
        <v>28</v>
      </c>
      <c r="D11" s="14" t="s">
        <v>29</v>
      </c>
      <c r="E11" s="14" t="s">
        <v>30</v>
      </c>
      <c r="F11" s="14" t="s">
        <v>31</v>
      </c>
      <c r="G11" s="14" t="s">
        <v>32</v>
      </c>
      <c r="H11" s="76"/>
      <c r="I11" s="76"/>
      <c r="J11" s="76"/>
      <c r="K11" s="76"/>
      <c r="L11" s="76"/>
      <c r="M11" s="76"/>
    </row>
    <row r="12" spans="1:13" ht="15" customHeight="1" x14ac:dyDescent="0.2">
      <c r="A12" s="76"/>
      <c r="B12" s="15" t="s">
        <v>189</v>
      </c>
      <c r="C12" s="15" t="s">
        <v>189</v>
      </c>
      <c r="D12" s="16" t="s">
        <v>189</v>
      </c>
      <c r="E12" s="16" t="s">
        <v>189</v>
      </c>
      <c r="F12" s="16" t="s">
        <v>189</v>
      </c>
      <c r="G12" s="16" t="s">
        <v>189</v>
      </c>
      <c r="H12" s="76"/>
      <c r="I12" s="76"/>
      <c r="J12" s="76"/>
      <c r="K12" s="76"/>
      <c r="L12" s="76"/>
      <c r="M12" s="76"/>
    </row>
    <row r="13" spans="1:13" ht="15" customHeight="1" x14ac:dyDescent="0.2">
      <c r="A13" s="76"/>
      <c r="B13" s="17" t="s">
        <v>193</v>
      </c>
      <c r="C13" s="17" t="s">
        <v>193</v>
      </c>
      <c r="D13" s="18" t="s">
        <v>191</v>
      </c>
      <c r="E13" s="18" t="s">
        <v>191</v>
      </c>
      <c r="F13" s="18" t="s">
        <v>191</v>
      </c>
      <c r="G13" s="18" t="s">
        <v>191</v>
      </c>
      <c r="H13" s="76"/>
      <c r="I13" s="76"/>
      <c r="J13" s="76"/>
      <c r="K13" s="76"/>
      <c r="L13" s="76"/>
      <c r="M13" s="76"/>
    </row>
    <row r="14" spans="1:13" ht="15" customHeight="1" x14ac:dyDescent="0.2">
      <c r="A14" s="77" t="s">
        <v>11</v>
      </c>
      <c r="B14" s="13" t="s">
        <v>33</v>
      </c>
      <c r="C14" s="13" t="s">
        <v>33</v>
      </c>
      <c r="D14" s="14" t="s">
        <v>34</v>
      </c>
      <c r="E14" s="14" t="s">
        <v>35</v>
      </c>
      <c r="F14" s="14" t="s">
        <v>36</v>
      </c>
      <c r="G14" s="14" t="s">
        <v>37</v>
      </c>
      <c r="H14" s="76"/>
      <c r="I14" s="76"/>
      <c r="J14" s="76"/>
      <c r="K14" s="76"/>
      <c r="L14" s="76"/>
      <c r="M14" s="76"/>
    </row>
    <row r="15" spans="1:13" ht="15" customHeight="1" x14ac:dyDescent="0.2">
      <c r="A15" s="76"/>
      <c r="B15" s="15" t="s">
        <v>189</v>
      </c>
      <c r="C15" s="15" t="s">
        <v>189</v>
      </c>
      <c r="D15" s="16" t="s">
        <v>189</v>
      </c>
      <c r="E15" s="16" t="s">
        <v>189</v>
      </c>
      <c r="F15" s="16" t="s">
        <v>189</v>
      </c>
      <c r="G15" s="16" t="s">
        <v>189</v>
      </c>
      <c r="H15" s="76"/>
      <c r="I15" s="76"/>
      <c r="J15" s="76"/>
      <c r="K15" s="76"/>
      <c r="L15" s="76"/>
      <c r="M15" s="76"/>
    </row>
    <row r="16" spans="1:13" ht="15" customHeight="1" x14ac:dyDescent="0.2">
      <c r="A16" s="76"/>
      <c r="B16" s="17" t="s">
        <v>194</v>
      </c>
      <c r="C16" s="17" t="s">
        <v>194</v>
      </c>
      <c r="D16" s="18" t="s">
        <v>191</v>
      </c>
      <c r="E16" s="18" t="s">
        <v>191</v>
      </c>
      <c r="F16" s="18" t="s">
        <v>191</v>
      </c>
      <c r="G16" s="18" t="s">
        <v>191</v>
      </c>
      <c r="H16" s="76"/>
      <c r="I16" s="76"/>
      <c r="J16" s="76"/>
      <c r="K16" s="76"/>
      <c r="L16" s="76"/>
      <c r="M16" s="76"/>
    </row>
    <row r="17" spans="1:13" ht="15" customHeight="1" x14ac:dyDescent="0.2">
      <c r="A17" s="77" t="s">
        <v>12</v>
      </c>
      <c r="B17" s="13" t="s">
        <v>38</v>
      </c>
      <c r="C17" s="13" t="s">
        <v>38</v>
      </c>
      <c r="D17" s="14" t="s">
        <v>39</v>
      </c>
      <c r="E17" s="14" t="s">
        <v>40</v>
      </c>
      <c r="F17" s="14" t="s">
        <v>41</v>
      </c>
      <c r="G17" s="14" t="s">
        <v>42</v>
      </c>
      <c r="H17" s="76"/>
      <c r="I17" s="76"/>
      <c r="J17" s="76"/>
      <c r="K17" s="76"/>
      <c r="L17" s="76"/>
      <c r="M17" s="76"/>
    </row>
    <row r="18" spans="1:13" ht="15" customHeight="1" x14ac:dyDescent="0.2">
      <c r="A18" s="76"/>
      <c r="B18" s="15" t="s">
        <v>189</v>
      </c>
      <c r="C18" s="15" t="s">
        <v>189</v>
      </c>
      <c r="D18" s="16" t="s">
        <v>189</v>
      </c>
      <c r="E18" s="16" t="s">
        <v>189</v>
      </c>
      <c r="F18" s="16" t="s">
        <v>189</v>
      </c>
      <c r="G18" s="16" t="s">
        <v>189</v>
      </c>
      <c r="H18" s="76"/>
      <c r="I18" s="76"/>
      <c r="J18" s="76"/>
      <c r="K18" s="76"/>
      <c r="L18" s="76"/>
      <c r="M18" s="76"/>
    </row>
    <row r="19" spans="1:13" ht="15" customHeight="1" x14ac:dyDescent="0.2">
      <c r="A19" s="76"/>
      <c r="B19" s="17" t="s">
        <v>195</v>
      </c>
      <c r="C19" s="17" t="s">
        <v>195</v>
      </c>
      <c r="D19" s="18" t="s">
        <v>191</v>
      </c>
      <c r="E19" s="18" t="s">
        <v>191</v>
      </c>
      <c r="F19" s="18" t="s">
        <v>191</v>
      </c>
      <c r="G19" s="18" t="s">
        <v>191</v>
      </c>
      <c r="H19" s="76"/>
      <c r="I19" s="76"/>
      <c r="J19" s="76"/>
      <c r="K19" s="76"/>
      <c r="L19" s="76"/>
      <c r="M19" s="76"/>
    </row>
    <row r="20" spans="1:13" ht="15" customHeight="1" x14ac:dyDescent="0.2">
      <c r="A20" s="77" t="s">
        <v>13</v>
      </c>
      <c r="B20" s="13" t="s">
        <v>43</v>
      </c>
      <c r="C20" s="13" t="s">
        <v>43</v>
      </c>
      <c r="D20" s="14" t="s">
        <v>44</v>
      </c>
      <c r="E20" s="14" t="s">
        <v>45</v>
      </c>
      <c r="F20" s="14" t="s">
        <v>46</v>
      </c>
      <c r="G20" s="14" t="s">
        <v>47</v>
      </c>
      <c r="H20" s="76"/>
      <c r="I20" s="76"/>
      <c r="J20" s="76"/>
      <c r="K20" s="76"/>
      <c r="L20" s="76"/>
      <c r="M20" s="76"/>
    </row>
    <row r="21" spans="1:13" ht="15" customHeight="1" x14ac:dyDescent="0.2">
      <c r="A21" s="76"/>
      <c r="B21" s="15" t="s">
        <v>189</v>
      </c>
      <c r="C21" s="15" t="s">
        <v>189</v>
      </c>
      <c r="D21" s="16" t="s">
        <v>189</v>
      </c>
      <c r="E21" s="16" t="s">
        <v>189</v>
      </c>
      <c r="F21" s="16" t="s">
        <v>189</v>
      </c>
      <c r="G21" s="16" t="s">
        <v>189</v>
      </c>
      <c r="H21" s="76"/>
      <c r="I21" s="76"/>
      <c r="J21" s="76"/>
      <c r="K21" s="76"/>
      <c r="L21" s="76"/>
      <c r="M21" s="76"/>
    </row>
    <row r="22" spans="1:13" ht="15" customHeight="1" x14ac:dyDescent="0.2">
      <c r="A22" s="76"/>
      <c r="B22" s="17" t="s">
        <v>196</v>
      </c>
      <c r="C22" s="17" t="s">
        <v>196</v>
      </c>
      <c r="D22" s="18" t="s">
        <v>191</v>
      </c>
      <c r="E22" s="18" t="s">
        <v>191</v>
      </c>
      <c r="F22" s="18" t="s">
        <v>191</v>
      </c>
      <c r="G22" s="18" t="s">
        <v>191</v>
      </c>
      <c r="H22" s="76"/>
      <c r="I22" s="76"/>
      <c r="J22" s="76"/>
      <c r="K22" s="76"/>
      <c r="L22" s="76"/>
      <c r="M22" s="76"/>
    </row>
    <row r="23" spans="1:13" ht="15" customHeight="1" x14ac:dyDescent="0.2">
      <c r="A23" s="77" t="s">
        <v>14</v>
      </c>
      <c r="B23" s="13" t="s">
        <v>48</v>
      </c>
      <c r="C23" s="13" t="s">
        <v>48</v>
      </c>
      <c r="D23" s="14" t="s">
        <v>49</v>
      </c>
      <c r="E23" s="14" t="s">
        <v>50</v>
      </c>
      <c r="F23" s="14" t="s">
        <v>51</v>
      </c>
      <c r="G23" s="14" t="s">
        <v>52</v>
      </c>
      <c r="H23" s="76"/>
      <c r="I23" s="76"/>
      <c r="J23" s="76"/>
      <c r="K23" s="76"/>
      <c r="L23" s="76"/>
      <c r="M23" s="76"/>
    </row>
    <row r="24" spans="1:13" ht="15" customHeight="1" x14ac:dyDescent="0.2">
      <c r="A24" s="76"/>
      <c r="B24" s="15" t="s">
        <v>189</v>
      </c>
      <c r="C24" s="15" t="s">
        <v>189</v>
      </c>
      <c r="D24" s="16" t="s">
        <v>189</v>
      </c>
      <c r="E24" s="16" t="s">
        <v>189</v>
      </c>
      <c r="F24" s="16" t="s">
        <v>189</v>
      </c>
      <c r="G24" s="16" t="s">
        <v>189</v>
      </c>
      <c r="H24" s="76"/>
      <c r="I24" s="76"/>
      <c r="J24" s="76"/>
      <c r="K24" s="76"/>
      <c r="L24" s="76"/>
      <c r="M24" s="76"/>
    </row>
    <row r="25" spans="1:13" ht="15" customHeight="1" x14ac:dyDescent="0.2">
      <c r="A25" s="76"/>
      <c r="B25" s="17" t="s">
        <v>197</v>
      </c>
      <c r="C25" s="17" t="s">
        <v>197</v>
      </c>
      <c r="D25" s="18" t="s">
        <v>191</v>
      </c>
      <c r="E25" s="18" t="s">
        <v>191</v>
      </c>
      <c r="F25" s="18" t="s">
        <v>191</v>
      </c>
      <c r="G25" s="18" t="s">
        <v>191</v>
      </c>
      <c r="H25" s="76"/>
      <c r="I25" s="76"/>
      <c r="J25" s="76"/>
      <c r="K25" s="76"/>
      <c r="L25" s="76"/>
      <c r="M25" s="76"/>
    </row>
    <row r="26" spans="1:13" ht="15" customHeight="1" x14ac:dyDescent="0.2">
      <c r="A26" s="77" t="s">
        <v>15</v>
      </c>
      <c r="B26" s="19" t="s">
        <v>53</v>
      </c>
      <c r="C26" s="14" t="s">
        <v>54</v>
      </c>
      <c r="D26" s="14" t="s">
        <v>55</v>
      </c>
      <c r="E26" s="14" t="s">
        <v>56</v>
      </c>
      <c r="F26" s="14" t="s">
        <v>57</v>
      </c>
      <c r="G26" s="14" t="s">
        <v>58</v>
      </c>
      <c r="H26" s="76"/>
      <c r="I26" s="76"/>
      <c r="J26" s="76"/>
      <c r="K26" s="76"/>
      <c r="L26" s="76"/>
      <c r="M26" s="76"/>
    </row>
    <row r="27" spans="1:13" ht="15" customHeight="1" x14ac:dyDescent="0.2">
      <c r="A27" s="76"/>
      <c r="B27" s="20" t="s">
        <v>189</v>
      </c>
      <c r="C27" s="16" t="s">
        <v>189</v>
      </c>
      <c r="D27" s="16" t="s">
        <v>189</v>
      </c>
      <c r="E27" s="16" t="s">
        <v>189</v>
      </c>
      <c r="F27" s="16" t="s">
        <v>189</v>
      </c>
      <c r="G27" s="16" t="s">
        <v>189</v>
      </c>
      <c r="H27" s="76"/>
      <c r="I27" s="76"/>
      <c r="J27" s="76"/>
      <c r="K27" s="76"/>
      <c r="L27" s="76"/>
      <c r="M27" s="76"/>
    </row>
    <row r="28" spans="1:13" ht="15" customHeight="1" x14ac:dyDescent="0.2">
      <c r="A28" s="76"/>
      <c r="B28" s="21"/>
      <c r="C28" s="18" t="s">
        <v>191</v>
      </c>
      <c r="D28" s="18" t="s">
        <v>191</v>
      </c>
      <c r="E28" s="18" t="s">
        <v>191</v>
      </c>
      <c r="F28" s="18" t="s">
        <v>191</v>
      </c>
      <c r="G28" s="18" t="s">
        <v>191</v>
      </c>
      <c r="H28" s="76"/>
      <c r="I28" s="76"/>
      <c r="J28" s="76"/>
      <c r="K28" s="76"/>
      <c r="L28" s="76"/>
      <c r="M28" s="76"/>
    </row>
    <row r="33" spans="1:1" ht="15" customHeight="1" x14ac:dyDescent="0.2">
      <c r="A33" t="s">
        <v>3</v>
      </c>
    </row>
  </sheetData>
  <mergeCells count="56"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09_14_26</vt:lpstr>
      <vt:lpstr>Standard Curve 09_14_26</vt:lpstr>
      <vt:lpstr>Absorbance 10_20_26</vt:lpstr>
      <vt:lpstr>Standard Curve 10_20_26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2026-09-15T19:37:19Z</dcterms:created>
  <dcterms:modified xsi:type="dcterms:W3CDTF">2026-10-27T16:20:57Z</dcterms:modified>
</cp:coreProperties>
</file>