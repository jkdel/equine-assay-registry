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Submit to the equine registry/"/>
    </mc:Choice>
  </mc:AlternateContent>
  <xr:revisionPtr revIDLastSave="139" documentId="13_ncr:1_{D17DEB3F-2168-410F-A6B8-BF9D9ADC0E4C}" xr6:coauthVersionLast="47" xr6:coauthVersionMax="47" xr10:uidLastSave="{10937517-5C04-455B-A9AB-959E0EA72BB8}"/>
  <bookViews>
    <workbookView xWindow="-120" yWindow="-120" windowWidth="29040" windowHeight="15720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0" i="4" l="1"/>
  <c r="L91" i="4"/>
  <c r="L92" i="4"/>
  <c r="L89" i="4"/>
  <c r="L76" i="4"/>
  <c r="L77" i="4"/>
  <c r="L78" i="4"/>
  <c r="L75" i="4"/>
  <c r="M96" i="4"/>
  <c r="M97" i="4"/>
  <c r="M95" i="4"/>
  <c r="M82" i="4"/>
  <c r="M83" i="4"/>
  <c r="M81" i="4"/>
</calcChain>
</file>

<file path=xl/sharedStrings.xml><?xml version="1.0" encoding="utf-8"?>
<sst xmlns="http://schemas.openxmlformats.org/spreadsheetml/2006/main" count="818" uniqueCount="251">
  <si>
    <t>Measurement results</t>
  </si>
  <si>
    <t>Human_Leptin_CloudClone_08_27_26_first trial.skax</t>
  </si>
  <si>
    <t>2026-08-27T15:55:09-05:00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</si>
  <si>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</si>
  <si>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</si>
  <si>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</si>
  <si>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</si>
  <si>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</si>
  <si>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</si>
  <si>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</si>
  <si>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</si>
  <si>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</si>
  <si>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</si>
  <si>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</si>
  <si>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</si>
  <si>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</si>
  <si>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</si>
  <si>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</si>
  <si>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Un0002</t>
  </si>
  <si>
    <t>Un0009</t>
  </si>
  <si>
    <t>Un0017</t>
  </si>
  <si>
    <t>Std60001</t>
  </si>
  <si>
    <t>Un0003</t>
  </si>
  <si>
    <t>Un0010</t>
  </si>
  <si>
    <t>Un0018</t>
  </si>
  <si>
    <t>Std50001</t>
  </si>
  <si>
    <t>Un0004</t>
  </si>
  <si>
    <t>Un0011</t>
  </si>
  <si>
    <t>Un0019</t>
  </si>
  <si>
    <t>Std40001</t>
  </si>
  <si>
    <t>Un0005</t>
  </si>
  <si>
    <t>Un0012</t>
  </si>
  <si>
    <t>Un0020</t>
  </si>
  <si>
    <t>Std30001</t>
  </si>
  <si>
    <t>Un0006</t>
  </si>
  <si>
    <t>Un0013</t>
  </si>
  <si>
    <t>Un0021</t>
  </si>
  <si>
    <t>Std20001</t>
  </si>
  <si>
    <t>Un0007</t>
  </si>
  <si>
    <t>Un0014</t>
  </si>
  <si>
    <t>Un0022</t>
  </si>
  <si>
    <t>Std10001</t>
  </si>
  <si>
    <t>Un0001</t>
  </si>
  <si>
    <t>Un0015</t>
  </si>
  <si>
    <t>Un0023</t>
  </si>
  <si>
    <t>Blank1</t>
  </si>
  <si>
    <t>Un0008</t>
  </si>
  <si>
    <t>Un0016</t>
  </si>
  <si>
    <t>Un0024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</si>
  <si>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</si>
  <si>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</si>
  <si>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</si>
  <si>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</si>
  <si>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</si>
  <si>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</si>
  <si>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</si>
  <si>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0.987991 + ( (0.114295 - 0.987991) / ( 1 + (x/1.31657)^1.12497)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</si>
  <si>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</si>
  <si>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</si>
  <si>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</si>
  <si>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</si>
  <si>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</si>
  <si>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</si>
  <si>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</si>
  <si>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</si>
  <si>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 [ng/mL]</t>
  </si>
  <si>
    <t>Original signal</t>
  </si>
  <si>
    <t>CV%</t>
  </si>
  <si>
    <t>Fitted signal</t>
  </si>
  <si>
    <t>Residual</t>
  </si>
  <si>
    <t>Average</t>
  </si>
  <si>
    <t>NaN</t>
  </si>
  <si>
    <t>G01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</si>
  <si>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</si>
  <si>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</si>
  <si>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</si>
  <si>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</si>
  <si>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</si>
  <si>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</si>
  <si>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</si>
  <si>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</si>
  <si>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</si>
  <si>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</si>
  <si>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</si>
  <si>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</si>
  <si>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</si>
  <si>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</si>
  <si>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>Autoloading range A1 - M100</t>
  </si>
  <si>
    <t>Blank Subtraction 1</t>
  </si>
  <si>
    <t>Blank subtracted</t>
  </si>
  <si>
    <t>Autoloading range A1 - M31</t>
  </si>
  <si>
    <t>Standard Curve 2</t>
  </si>
  <si>
    <t>y = 0.817246 + ( (-0.0564506 - 0.817246) / ( 1 + (x/1.31657)^1.12497)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</si>
  <si>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</si>
  <si>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</si>
  <si>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</si>
  <si>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</si>
  <si>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</si>
  <si>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</si>
  <si>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</si>
  <si>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</si>
  <si>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Human_Leptin_CloudClone_08_27_26_first trial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</si>
  <si>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</si>
  <si>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</si>
  <si>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</si>
  <si>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</si>
  <si>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</si>
  <si>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</si>
  <si>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</si>
  <si>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</si>
  <si>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</si>
  <si>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</si>
  <si>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</si>
  <si>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</si>
  <si>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</si>
  <si>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</si>
  <si>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</si>
  <si>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</si>
  <si>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</si>
  <si>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</si>
  <si>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</si>
  <si>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</si>
  <si>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</si>
  <si>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</si>
  <si>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</si>
  <si>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</si>
  <si>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</si>
  <si>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</si>
  <si>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</si>
  <si>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</si>
  <si>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</si>
  <si>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</si>
  <si>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</si>
  <si>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</si>
  <si>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</si>
  <si>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</si>
  <si>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</si>
  <si>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</si>
  <si>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</si>
  <si>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</si>
  <si>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</si>
  <si>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</si>
  <si>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</si>
  <si>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</si>
  <si>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</si>
  <si>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</si>
  <si>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</si>
  <si>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</si>
  <si>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</si>
  <si>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</si>
  <si>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</si>
  <si>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</si>
  <si>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</si>
  <si>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</si>
  <si>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</si>
  <si>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</si>
  <si>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</si>
  <si>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</si>
  <si>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</si>
  <si>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</si>
  <si>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</si>
  <si>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</si>
  <si>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</si>
  <si>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</si>
  <si>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</si>
  <si>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</si>
  <si>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</si>
  <si>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</si>
  <si>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</si>
  <si>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</si>
  <si>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</si>
  <si>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</si>
  <si>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</si>
  <si>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</si>
  <si>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</si>
  <si>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</si>
  <si>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</si>
  <si>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</si>
  <si>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</si>
  <si>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</si>
  <si>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</si>
  <si>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Human_Leptin_CloudClone_08_27_26_first trial.skax started</t>
  </si>
  <si>
    <t>2026-08-27T15:55:10-05:00</t>
  </si>
  <si>
    <t>Temperature</t>
  </si>
  <si>
    <t>37.0°C</t>
  </si>
  <si>
    <t>Step Shake 1 started</t>
  </si>
  <si>
    <t>2026-08-27T15:55:33-05:00</t>
  </si>
  <si>
    <t>Step Shake 1 ended</t>
  </si>
  <si>
    <t>Step Absorbance 1 started</t>
  </si>
  <si>
    <t>2026-08-27T15:55:54-05:00</t>
  </si>
  <si>
    <t>Step Absorbance 1 ended</t>
  </si>
  <si>
    <t>36.9°C</t>
  </si>
  <si>
    <t>2026-08-27T15:56:00-05:00</t>
  </si>
  <si>
    <t>Session Human_Leptin_CloudClone_08_27_26_first trial.skax ended</t>
  </si>
  <si>
    <t>Plate template</t>
  </si>
  <si>
    <t>ANSI/SBS Standard, 96-well</t>
  </si>
  <si>
    <t>Group 1</t>
  </si>
  <si>
    <t>0.3125 ng/mL</t>
  </si>
  <si>
    <t>1:1</t>
  </si>
  <si>
    <t>0.625 ng/mL</t>
  </si>
  <si>
    <t>1.25 ng/mL</t>
  </si>
  <si>
    <t>2.5 ng/mL</t>
  </si>
  <si>
    <t>5 ng/mL</t>
  </si>
  <si>
    <t>10 ng/mL</t>
  </si>
  <si>
    <t>20 ng/mL</t>
  </si>
  <si>
    <t>Serum 1X</t>
  </si>
  <si>
    <t>Sp1 2.5 (Serum 1X)</t>
  </si>
  <si>
    <t>Serum 5X</t>
  </si>
  <si>
    <t>Serum 25X</t>
  </si>
  <si>
    <t>Sp2 2.5 (Serum 25X)</t>
  </si>
  <si>
    <t>Serum 125X</t>
  </si>
  <si>
    <t>EtOH 1X</t>
  </si>
  <si>
    <t>Sp3 2.5 (Serum 125X)</t>
  </si>
  <si>
    <t>EtOH 5X</t>
  </si>
  <si>
    <t>Sp4 2.5 EtOH 1X</t>
  </si>
  <si>
    <t>EtOH 25X</t>
  </si>
  <si>
    <t>EtOH 125X</t>
  </si>
  <si>
    <t>EtOH = ethanol extracted serum</t>
  </si>
  <si>
    <t>Sp = spike</t>
  </si>
  <si>
    <t>Dilution factor</t>
  </si>
  <si>
    <t>Measured</t>
  </si>
  <si>
    <t>Corrected</t>
  </si>
  <si>
    <t>Recovery (%)</t>
  </si>
  <si>
    <t>Expected</t>
  </si>
  <si>
    <t>Experimental</t>
  </si>
  <si>
    <t>For Regular Serum</t>
  </si>
  <si>
    <t>Serum treated with EtOH</t>
  </si>
  <si>
    <t xml:space="preserve">Sp5 2.5 (EtOH 25X) </t>
  </si>
  <si>
    <t>Sp6 2.5 (EtOH 125X)</t>
  </si>
  <si>
    <t>Spikes Preparation</t>
  </si>
  <si>
    <t>Sample vol (uL)</t>
  </si>
  <si>
    <t>Std vol (uL)</t>
  </si>
  <si>
    <t>Std Conc (ng/mL)</t>
  </si>
  <si>
    <t>Spike Conc (ng/mL)</t>
  </si>
  <si>
    <t>N/A</t>
  </si>
  <si>
    <t>Spike 1 (Serum 1X)</t>
  </si>
  <si>
    <t>Spike 2 (Serum 25X)</t>
  </si>
  <si>
    <t>Spike 3 (Serum 125X)</t>
  </si>
  <si>
    <t>Spike 4 (EtOH 1X)</t>
  </si>
  <si>
    <t>Spike 5 (EtOH 25X)</t>
  </si>
  <si>
    <t>Spike 6 (EtOH 125X)</t>
  </si>
  <si>
    <t>Std1 20</t>
  </si>
  <si>
    <t>Std2 10</t>
  </si>
  <si>
    <t>Std3 5</t>
  </si>
  <si>
    <t>Std4 2.5</t>
  </si>
  <si>
    <t>Std5 1.25</t>
  </si>
  <si>
    <t>Std6 0.625</t>
  </si>
  <si>
    <t>Std7 0.312</t>
  </si>
  <si>
    <t>5</t>
  </si>
  <si>
    <t>125</t>
  </si>
  <si>
    <t xml:space="preserve">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</si>
</sst>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0.00000"/>
    <numFmt numFmtId="167" formatCode="0.00000000"/>
    <numFmt numFmtId="168" formatCode="0.000000000"/>
    <numFmt numFmtId="169" formatCode="0.0000000"/>
  </numFmts>
  <fonts count="2" x14ac:knownFonts="1">
    <font>
      <sz val="10"/>
      <name val="Arial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5" borderId="0" xfId="0" applyFill="1"/>
    <xf numFmtId="0" fontId="0" fillId="6" borderId="0" xfId="0" applyFill="1"/>
    <xf numFmtId="165" fontId="0" fillId="0" borderId="5" xfId="0" applyNumberFormat="1" applyBorder="1" applyAlignment="1">
      <alignment horizontal="right"/>
    </xf>
    <xf numFmtId="169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0" fontId="0" fillId="0" borderId="0" xfId="0"/>
    <xf numFmtId="0" fontId="0" fillId="0" borderId="0" xfId="0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Border="1"/>
    <xf numFmtId="0" fontId="0" fillId="6" borderId="0" xfId="0" applyFill="1" applyBorder="1"/>
    <xf numFmtId="0" fontId="0" fillId="9" borderId="0" xfId="0" applyFill="1" applyBorder="1"/>
    <xf numFmtId="0" fontId="0" fillId="0" borderId="5" xfId="0" applyNumberFormat="1" applyBorder="1"/>
    <xf numFmtId="49" fontId="0" fillId="0" borderId="0" xfId="0" applyNumberFormat="1"/>
    <xf numFmtId="49" fontId="0" fillId="0" borderId="5" xfId="0" applyNumberFormat="1" applyBorder="1"/>
    <xf numFmtId="49" fontId="1" fillId="0" borderId="5" xfId="0" applyNumberFormat="1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895350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819150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2"/>
  <sheetViews>
    <sheetView workbookViewId="0">
      <selection activeCell="N28" sqref="N28"/>
    </sheetView>
  </sheetViews>
  <sheetFormatPr defaultColWidth="9.140625" defaultRowHeight="15" customHeight="1" x14ac:dyDescent="0.2"/>
  <cols>
    <col min="1" max="1" width="9.7109375" customWidth="1"/>
    <col min="2" max="6" width="18.85546875" customWidth="1"/>
    <col min="7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19" t="s">
        <v>7</v>
      </c>
      <c r="B10" s="20">
        <v>1</v>
      </c>
      <c r="C10" s="20">
        <v>2</v>
      </c>
      <c r="D10" s="20">
        <v>3</v>
      </c>
      <c r="E10" s="20">
        <v>4</v>
      </c>
      <c r="F10" s="20">
        <v>5</v>
      </c>
      <c r="G10" s="1"/>
      <c r="H10" s="1"/>
      <c r="I10" s="1"/>
      <c r="J10" s="1"/>
      <c r="K10" s="1"/>
      <c r="L10" s="1"/>
      <c r="M10" s="1"/>
    </row>
    <row r="11" spans="1:13" ht="15" customHeight="1" x14ac:dyDescent="0.2">
      <c r="A11" s="19" t="s">
        <v>8</v>
      </c>
      <c r="B11" s="21">
        <v>0.27229999999999999</v>
      </c>
      <c r="C11" s="21">
        <v>0.2555</v>
      </c>
      <c r="D11" s="21">
        <v>9.11E-2</v>
      </c>
      <c r="E11" s="21">
        <v>8.8800000000000004E-2</v>
      </c>
      <c r="F11" s="21">
        <v>0.21129999999999999</v>
      </c>
    </row>
    <row r="12" spans="1:13" ht="15" customHeight="1" x14ac:dyDescent="0.2">
      <c r="A12" s="19" t="s">
        <v>9</v>
      </c>
      <c r="B12" s="21">
        <v>0.35239999999999999</v>
      </c>
      <c r="C12" s="21">
        <v>0.37940000000000002</v>
      </c>
      <c r="D12" s="21">
        <v>9.4E-2</v>
      </c>
      <c r="E12" s="21">
        <v>9.1499999999999998E-2</v>
      </c>
      <c r="F12" s="21">
        <v>0.25409999999999999</v>
      </c>
    </row>
    <row r="13" spans="1:13" ht="15" customHeight="1" x14ac:dyDescent="0.2">
      <c r="A13" s="19" t="s">
        <v>10</v>
      </c>
      <c r="B13" s="21">
        <v>0.57830000000000004</v>
      </c>
      <c r="C13" s="21">
        <v>0.51590000000000003</v>
      </c>
      <c r="D13" s="21">
        <v>0.1439</v>
      </c>
      <c r="E13" s="21">
        <v>0.13700000000000001</v>
      </c>
      <c r="F13" s="21">
        <v>0.50660000000000005</v>
      </c>
    </row>
    <row r="14" spans="1:13" ht="15" customHeight="1" x14ac:dyDescent="0.2">
      <c r="A14" s="19" t="s">
        <v>11</v>
      </c>
      <c r="B14" s="21">
        <v>0.71550000000000002</v>
      </c>
      <c r="C14" s="21">
        <v>0.69650000000000001</v>
      </c>
      <c r="D14" s="21">
        <v>0.17319999999999999</v>
      </c>
      <c r="E14" s="21">
        <v>0.17050000000000001</v>
      </c>
      <c r="F14" s="21">
        <v>0.61519999999999997</v>
      </c>
    </row>
    <row r="15" spans="1:13" ht="15" customHeight="1" x14ac:dyDescent="0.2">
      <c r="A15" s="19" t="s">
        <v>12</v>
      </c>
      <c r="B15" s="21">
        <v>0.84660000000000002</v>
      </c>
      <c r="C15" s="21">
        <v>0.79430000000000001</v>
      </c>
      <c r="D15" s="21">
        <v>0.13</v>
      </c>
      <c r="E15" s="21">
        <v>0.13780000000000001</v>
      </c>
      <c r="F15" s="21">
        <v>0.50600000000000001</v>
      </c>
    </row>
    <row r="16" spans="1:13" ht="15" customHeight="1" x14ac:dyDescent="0.2">
      <c r="A16" s="19" t="s">
        <v>13</v>
      </c>
      <c r="B16" s="21">
        <v>0.91590000000000005</v>
      </c>
      <c r="C16" s="21">
        <v>0.89690000000000003</v>
      </c>
      <c r="D16" s="21">
        <v>0.1726</v>
      </c>
      <c r="E16" s="21">
        <v>0.16450000000000001</v>
      </c>
      <c r="F16" s="21">
        <v>0.47949999999999998</v>
      </c>
    </row>
    <row r="17" spans="1:13" ht="15" customHeight="1" x14ac:dyDescent="0.2">
      <c r="A17" s="19" t="s">
        <v>14</v>
      </c>
      <c r="B17" s="21">
        <v>0.95240000000000002</v>
      </c>
      <c r="C17" s="21">
        <v>0.1799</v>
      </c>
      <c r="D17" s="21">
        <v>0.17150000000000001</v>
      </c>
      <c r="E17" s="21">
        <v>0.18049999999999999</v>
      </c>
      <c r="F17" s="21">
        <v>0.33939999999999998</v>
      </c>
    </row>
    <row r="18" spans="1:13" ht="15" customHeight="1" x14ac:dyDescent="0.2">
      <c r="A18" s="19" t="s">
        <v>15</v>
      </c>
      <c r="B18" s="21">
        <v>0.17130000000000001</v>
      </c>
      <c r="C18" s="21">
        <v>0.17019999999999999</v>
      </c>
      <c r="D18" s="21">
        <v>0.1706</v>
      </c>
      <c r="E18" s="21">
        <v>0.16350000000000001</v>
      </c>
      <c r="F18" s="21">
        <v>0.37909999999999999</v>
      </c>
    </row>
    <row r="20" spans="1:13" ht="15" customHeight="1" x14ac:dyDescent="0.2">
      <c r="A20" s="19" t="s">
        <v>16</v>
      </c>
      <c r="B20" s="20">
        <v>1</v>
      </c>
      <c r="C20" s="20">
        <v>2</v>
      </c>
      <c r="D20" s="20">
        <v>3</v>
      </c>
      <c r="E20" s="20">
        <v>4</v>
      </c>
      <c r="F20" s="20">
        <v>5</v>
      </c>
      <c r="G20" s="1"/>
      <c r="H20" s="1"/>
      <c r="I20" s="1"/>
      <c r="J20" s="1"/>
      <c r="K20" s="1"/>
      <c r="L20" s="1"/>
      <c r="M20" s="1"/>
    </row>
    <row r="21" spans="1:13" ht="15" customHeight="1" x14ac:dyDescent="0.2">
      <c r="A21" s="19" t="s">
        <v>8</v>
      </c>
      <c r="B21" s="19" t="s">
        <v>247</v>
      </c>
      <c r="C21" s="19" t="s">
        <v>247</v>
      </c>
      <c r="D21" s="19" t="s">
        <v>205</v>
      </c>
      <c r="E21" s="19" t="s">
        <v>205</v>
      </c>
      <c r="F21" s="19" t="s">
        <v>206</v>
      </c>
    </row>
    <row r="22" spans="1:13" ht="15" customHeight="1" x14ac:dyDescent="0.2">
      <c r="A22" s="19" t="s">
        <v>9</v>
      </c>
      <c r="B22" s="19" t="s">
        <v>246</v>
      </c>
      <c r="C22" s="19" t="s">
        <v>246</v>
      </c>
      <c r="D22" s="19" t="s">
        <v>207</v>
      </c>
      <c r="E22" s="19" t="s">
        <v>207</v>
      </c>
      <c r="F22" s="19" t="s">
        <v>206</v>
      </c>
    </row>
    <row r="23" spans="1:13" ht="15" customHeight="1" x14ac:dyDescent="0.2">
      <c r="A23" s="19" t="s">
        <v>10</v>
      </c>
      <c r="B23" s="19" t="s">
        <v>245</v>
      </c>
      <c r="C23" s="19" t="s">
        <v>245</v>
      </c>
      <c r="D23" s="19" t="s">
        <v>208</v>
      </c>
      <c r="E23" s="19" t="s">
        <v>208</v>
      </c>
      <c r="F23" s="19" t="s">
        <v>209</v>
      </c>
    </row>
    <row r="24" spans="1:13" ht="15" customHeight="1" x14ac:dyDescent="0.2">
      <c r="A24" s="19" t="s">
        <v>11</v>
      </c>
      <c r="B24" s="19" t="s">
        <v>244</v>
      </c>
      <c r="C24" s="19" t="s">
        <v>244</v>
      </c>
      <c r="D24" s="19" t="s">
        <v>210</v>
      </c>
      <c r="E24" s="19" t="s">
        <v>210</v>
      </c>
      <c r="F24" s="19" t="s">
        <v>209</v>
      </c>
    </row>
    <row r="25" spans="1:13" ht="15" customHeight="1" x14ac:dyDescent="0.2">
      <c r="A25" s="19" t="s">
        <v>12</v>
      </c>
      <c r="B25" s="19" t="s">
        <v>243</v>
      </c>
      <c r="C25" s="19" t="s">
        <v>243</v>
      </c>
      <c r="D25" s="19" t="s">
        <v>211</v>
      </c>
      <c r="E25" s="19" t="s">
        <v>211</v>
      </c>
      <c r="F25" s="19" t="s">
        <v>212</v>
      </c>
    </row>
    <row r="26" spans="1:13" ht="15" customHeight="1" x14ac:dyDescent="0.2">
      <c r="A26" s="19" t="s">
        <v>13</v>
      </c>
      <c r="B26" s="19" t="s">
        <v>242</v>
      </c>
      <c r="C26" s="19" t="s">
        <v>242</v>
      </c>
      <c r="D26" s="19" t="s">
        <v>213</v>
      </c>
      <c r="E26" s="19" t="s">
        <v>213</v>
      </c>
      <c r="F26" s="19" t="s">
        <v>212</v>
      </c>
    </row>
    <row r="27" spans="1:13" ht="15" customHeight="1" x14ac:dyDescent="0.2">
      <c r="A27" s="19" t="s">
        <v>14</v>
      </c>
      <c r="B27" s="19" t="s">
        <v>241</v>
      </c>
      <c r="C27" s="19" t="s">
        <v>214</v>
      </c>
      <c r="D27" s="19" t="s">
        <v>215</v>
      </c>
      <c r="E27" s="19" t="s">
        <v>215</v>
      </c>
      <c r="F27" s="19" t="s">
        <v>227</v>
      </c>
    </row>
    <row r="28" spans="1:13" ht="15" customHeight="1" x14ac:dyDescent="0.2">
      <c r="A28" s="19" t="s">
        <v>15</v>
      </c>
      <c r="B28" s="19" t="s">
        <v>45</v>
      </c>
      <c r="C28" s="19" t="s">
        <v>45</v>
      </c>
      <c r="D28" s="19" t="s">
        <v>216</v>
      </c>
      <c r="E28" s="19" t="s">
        <v>216</v>
      </c>
      <c r="F28" s="19" t="s">
        <v>228</v>
      </c>
    </row>
    <row r="30" spans="1:13" ht="15" customHeight="1" x14ac:dyDescent="0.2">
      <c r="A30" t="s">
        <v>49</v>
      </c>
    </row>
    <row r="31" spans="1:13" ht="15" customHeight="1" x14ac:dyDescent="0.2">
      <c r="E31" s="22" t="s">
        <v>217</v>
      </c>
      <c r="F31" s="22"/>
    </row>
    <row r="32" spans="1:13" ht="15" customHeight="1" x14ac:dyDescent="0.2">
      <c r="E32" s="23" t="s">
        <v>218</v>
      </c>
      <c r="F32" s="2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4"/>
  <sheetViews>
    <sheetView topLeftCell="A64" workbookViewId="0">
      <selection activeCell="B93" sqref="B93:F100"/>
    </sheetView>
  </sheetViews>
  <sheetFormatPr defaultColWidth="9.140625" defaultRowHeight="15" customHeight="1" x14ac:dyDescent="0.2"/>
  <cols>
    <col min="1" max="1" width="13.42578125" customWidth="1"/>
    <col min="2" max="6" width="19" customWidth="1"/>
    <col min="7" max="7" width="14.1406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50</v>
      </c>
    </row>
    <row r="7" spans="1:1" ht="15" customHeight="1" x14ac:dyDescent="0.2">
      <c r="A7" t="s">
        <v>51</v>
      </c>
    </row>
    <row r="8" spans="1:1" ht="15" customHeight="1" x14ac:dyDescent="0.2">
      <c r="A8" t="s">
        <v>52</v>
      </c>
    </row>
    <row r="9" spans="1:1" ht="15" customHeight="1" x14ac:dyDescent="0.2">
      <c r="A9" t="s">
        <v>53</v>
      </c>
    </row>
    <row r="10" spans="1:1" ht="15" customHeight="1" x14ac:dyDescent="0.2">
      <c r="A10" t="s">
        <v>5</v>
      </c>
    </row>
    <row r="11" spans="1:1" ht="15" customHeight="1" x14ac:dyDescent="0.2">
      <c r="A11" t="s">
        <v>54</v>
      </c>
    </row>
    <row r="12" spans="1:1" ht="15" customHeight="1" x14ac:dyDescent="0.2">
      <c r="A12" t="s">
        <v>55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56</v>
      </c>
    </row>
    <row r="38" spans="1:7" ht="15" customHeight="1" x14ac:dyDescent="0.2">
      <c r="A38" t="s">
        <v>57</v>
      </c>
    </row>
    <row r="39" spans="1:7" ht="12.75" x14ac:dyDescent="0.2">
      <c r="A39" t="s">
        <v>58</v>
      </c>
    </row>
    <row r="40" spans="1:7" ht="12.75" x14ac:dyDescent="0.2">
      <c r="A40" t="s">
        <v>59</v>
      </c>
      <c r="B40" s="2">
        <v>0.11429499999999999</v>
      </c>
    </row>
    <row r="41" spans="1:7" ht="12.75" x14ac:dyDescent="0.2">
      <c r="A41" t="s">
        <v>60</v>
      </c>
      <c r="B41" s="3">
        <v>1.12497</v>
      </c>
    </row>
    <row r="42" spans="1:7" ht="12.75" x14ac:dyDescent="0.2">
      <c r="A42" t="s">
        <v>61</v>
      </c>
      <c r="B42" s="3">
        <v>1.31657</v>
      </c>
    </row>
    <row r="43" spans="1:7" ht="12.75" x14ac:dyDescent="0.2">
      <c r="A43" t="s">
        <v>62</v>
      </c>
      <c r="B43" s="2">
        <v>0.98799099999999995</v>
      </c>
    </row>
    <row r="44" spans="1:7" ht="12.75" x14ac:dyDescent="0.2"/>
    <row r="45" spans="1:7" ht="12.75" x14ac:dyDescent="0.2">
      <c r="A45" t="s">
        <v>63</v>
      </c>
    </row>
    <row r="46" spans="1:7" ht="12.75" x14ac:dyDescent="0.2">
      <c r="A46" t="s">
        <v>3</v>
      </c>
    </row>
    <row r="47" spans="1:7" ht="12.75" x14ac:dyDescent="0.2">
      <c r="A47" t="s">
        <v>64</v>
      </c>
      <c r="B47" t="s">
        <v>16</v>
      </c>
      <c r="C47" t="s">
        <v>65</v>
      </c>
      <c r="D47" t="s">
        <v>66</v>
      </c>
      <c r="E47" t="s">
        <v>67</v>
      </c>
      <c r="F47" t="s">
        <v>68</v>
      </c>
      <c r="G47" t="s">
        <v>69</v>
      </c>
    </row>
    <row r="48" spans="1:7" ht="12.75" x14ac:dyDescent="0.2">
      <c r="A48" t="s">
        <v>70</v>
      </c>
      <c r="B48" t="s">
        <v>41</v>
      </c>
      <c r="C48" s="4">
        <v>20</v>
      </c>
      <c r="D48" s="2">
        <v>0.95240899999999995</v>
      </c>
      <c r="E48" t="s">
        <v>71</v>
      </c>
      <c r="F48" s="2">
        <v>0.94888700000000004</v>
      </c>
      <c r="G48" s="5">
        <v>3.5222000000000001E-3</v>
      </c>
    </row>
    <row r="49" spans="1:7" ht="12.75" x14ac:dyDescent="0.2">
      <c r="A49" t="s">
        <v>72</v>
      </c>
      <c r="B49" t="s">
        <v>41</v>
      </c>
      <c r="C49" s="4">
        <v>20</v>
      </c>
      <c r="D49" s="2">
        <v>0.95240899999999995</v>
      </c>
      <c r="F49" s="2">
        <v>0.94888700000000004</v>
      </c>
      <c r="G49" s="5">
        <v>3.5222000000000001E-3</v>
      </c>
    </row>
    <row r="50" spans="1:7" ht="12.75" x14ac:dyDescent="0.2">
      <c r="A50" t="s">
        <v>70</v>
      </c>
      <c r="B50" t="s">
        <v>37</v>
      </c>
      <c r="C50" s="4">
        <v>10</v>
      </c>
      <c r="D50" s="2">
        <v>0.90644199999999997</v>
      </c>
      <c r="E50" s="3">
        <v>1.4831099999999999</v>
      </c>
      <c r="F50" s="2">
        <v>0.90698699999999999</v>
      </c>
      <c r="G50" s="6">
        <v>-5.4525000000000005E-4</v>
      </c>
    </row>
    <row r="51" spans="1:7" ht="12.75" x14ac:dyDescent="0.2">
      <c r="A51" t="s">
        <v>73</v>
      </c>
      <c r="B51" t="s">
        <v>37</v>
      </c>
      <c r="C51" s="4">
        <v>10</v>
      </c>
      <c r="D51" s="2">
        <v>0.91594799999999998</v>
      </c>
      <c r="F51" s="2">
        <v>0.90698699999999999</v>
      </c>
      <c r="G51" s="5">
        <v>8.96075E-3</v>
      </c>
    </row>
    <row r="52" spans="1:7" ht="12.75" x14ac:dyDescent="0.2">
      <c r="A52" t="s">
        <v>74</v>
      </c>
      <c r="B52" t="s">
        <v>37</v>
      </c>
      <c r="C52" s="4">
        <v>10</v>
      </c>
      <c r="D52" s="2">
        <v>0.89693599999999996</v>
      </c>
      <c r="F52" s="2">
        <v>0.90698699999999999</v>
      </c>
      <c r="G52" s="7">
        <v>-1.00512E-2</v>
      </c>
    </row>
    <row r="53" spans="1:7" ht="12.75" x14ac:dyDescent="0.2">
      <c r="A53" t="s">
        <v>70</v>
      </c>
      <c r="B53" t="s">
        <v>33</v>
      </c>
      <c r="C53" s="3">
        <v>5</v>
      </c>
      <c r="D53" s="2">
        <v>0.82044700000000004</v>
      </c>
      <c r="E53" s="3">
        <v>4.5068999999999999</v>
      </c>
      <c r="F53" s="2">
        <v>0.82875900000000002</v>
      </c>
      <c r="G53" s="5">
        <v>-8.31228E-3</v>
      </c>
    </row>
    <row r="54" spans="1:7" ht="12.75" x14ac:dyDescent="0.2">
      <c r="A54" t="s">
        <v>75</v>
      </c>
      <c r="B54" t="s">
        <v>33</v>
      </c>
      <c r="C54" s="3">
        <v>5</v>
      </c>
      <c r="D54" s="2">
        <v>0.84659300000000004</v>
      </c>
      <c r="F54" s="2">
        <v>0.82875900000000002</v>
      </c>
      <c r="G54" s="7">
        <v>1.7834200000000001E-2</v>
      </c>
    </row>
    <row r="55" spans="1:7" ht="12.75" x14ac:dyDescent="0.2">
      <c r="A55" t="s">
        <v>76</v>
      </c>
      <c r="B55" t="s">
        <v>33</v>
      </c>
      <c r="C55" s="3">
        <v>5</v>
      </c>
      <c r="D55" s="2">
        <v>0.79430000000000001</v>
      </c>
      <c r="F55" s="2">
        <v>0.82875900000000002</v>
      </c>
      <c r="G55" s="7">
        <v>-3.4458799999999998E-2</v>
      </c>
    </row>
    <row r="56" spans="1:7" ht="12.75" x14ac:dyDescent="0.2">
      <c r="A56" t="s">
        <v>70</v>
      </c>
      <c r="B56" t="s">
        <v>29</v>
      </c>
      <c r="C56" s="3">
        <v>2.5</v>
      </c>
      <c r="D56" s="2">
        <v>0.70601100000000006</v>
      </c>
      <c r="E56" s="3">
        <v>1.9049499999999999</v>
      </c>
      <c r="F56" s="2">
        <v>0.70221800000000001</v>
      </c>
      <c r="G56" s="5">
        <v>3.7928900000000002E-3</v>
      </c>
    </row>
    <row r="57" spans="1:7" ht="12.75" x14ac:dyDescent="0.2">
      <c r="A57" t="s">
        <v>77</v>
      </c>
      <c r="B57" t="s">
        <v>29</v>
      </c>
      <c r="C57" s="3">
        <v>2.5</v>
      </c>
      <c r="D57" s="2">
        <v>0.71552099999999996</v>
      </c>
      <c r="F57" s="2">
        <v>0.70221800000000001</v>
      </c>
      <c r="G57" s="7">
        <v>1.3302899999999999E-2</v>
      </c>
    </row>
    <row r="58" spans="1:7" ht="12.75" x14ac:dyDescent="0.2">
      <c r="A58" t="s">
        <v>78</v>
      </c>
      <c r="B58" t="s">
        <v>29</v>
      </c>
      <c r="C58" s="3">
        <v>2.5</v>
      </c>
      <c r="D58" s="2">
        <v>0.69650100000000004</v>
      </c>
      <c r="F58" s="2">
        <v>0.70221800000000001</v>
      </c>
      <c r="G58" s="5">
        <v>-5.7171100000000001E-3</v>
      </c>
    </row>
    <row r="59" spans="1:7" ht="12.75" x14ac:dyDescent="0.2">
      <c r="A59" t="s">
        <v>70</v>
      </c>
      <c r="B59" t="s">
        <v>25</v>
      </c>
      <c r="C59" s="3">
        <v>1.25</v>
      </c>
      <c r="D59" s="2">
        <v>0.54708900000000005</v>
      </c>
      <c r="E59" s="3">
        <v>8.0629399999999993</v>
      </c>
      <c r="F59" s="2">
        <v>0.53839700000000001</v>
      </c>
      <c r="G59" s="5">
        <v>8.6914499999999999E-3</v>
      </c>
    </row>
    <row r="60" spans="1:7" ht="12.75" x14ac:dyDescent="0.2">
      <c r="A60" t="s">
        <v>79</v>
      </c>
      <c r="B60" t="s">
        <v>25</v>
      </c>
      <c r="C60" s="3">
        <v>1.25</v>
      </c>
      <c r="D60" s="2">
        <v>0.57828000000000002</v>
      </c>
      <c r="F60" s="2">
        <v>0.53839700000000001</v>
      </c>
      <c r="G60" s="7">
        <v>3.9882899999999999E-2</v>
      </c>
    </row>
    <row r="61" spans="1:7" ht="12.75" x14ac:dyDescent="0.2">
      <c r="A61" t="s">
        <v>80</v>
      </c>
      <c r="B61" t="s">
        <v>25</v>
      </c>
      <c r="C61" s="3">
        <v>1.25</v>
      </c>
      <c r="D61" s="2">
        <v>0.51589700000000005</v>
      </c>
      <c r="F61" s="2">
        <v>0.53839700000000001</v>
      </c>
      <c r="G61" s="7">
        <v>-2.2500099999999999E-2</v>
      </c>
    </row>
    <row r="62" spans="1:7" ht="12.75" x14ac:dyDescent="0.2">
      <c r="A62" t="s">
        <v>70</v>
      </c>
      <c r="B62" t="s">
        <v>21</v>
      </c>
      <c r="C62" s="2">
        <v>0.625</v>
      </c>
      <c r="D62" s="2">
        <v>0.36591600000000002</v>
      </c>
      <c r="E62" s="3">
        <v>5.2061599999999997</v>
      </c>
      <c r="F62" s="2">
        <v>0.37808700000000001</v>
      </c>
      <c r="G62" s="7">
        <v>-1.2171599999999999E-2</v>
      </c>
    </row>
    <row r="63" spans="1:7" ht="12.75" x14ac:dyDescent="0.2">
      <c r="A63" t="s">
        <v>81</v>
      </c>
      <c r="B63" t="s">
        <v>21</v>
      </c>
      <c r="C63" s="2">
        <v>0.625</v>
      </c>
      <c r="D63" s="2">
        <v>0.35244500000000001</v>
      </c>
      <c r="F63" s="2">
        <v>0.37808700000000001</v>
      </c>
      <c r="G63" s="7">
        <v>-2.5642100000000001E-2</v>
      </c>
    </row>
    <row r="64" spans="1:7" ht="12.75" x14ac:dyDescent="0.2">
      <c r="A64" t="s">
        <v>82</v>
      </c>
      <c r="B64" t="s">
        <v>21</v>
      </c>
      <c r="C64" s="2">
        <v>0.625</v>
      </c>
      <c r="D64" s="2">
        <v>0.379386</v>
      </c>
      <c r="F64" s="2">
        <v>0.37808700000000001</v>
      </c>
      <c r="G64" s="5">
        <v>1.29889E-3</v>
      </c>
    </row>
    <row r="65" spans="1:13" ht="12.75" x14ac:dyDescent="0.2">
      <c r="A65" t="s">
        <v>70</v>
      </c>
      <c r="B65" t="s">
        <v>17</v>
      </c>
      <c r="C65" s="2">
        <v>0.3125</v>
      </c>
      <c r="D65" s="2">
        <v>0.263909</v>
      </c>
      <c r="E65" s="3">
        <v>4.4973099999999997</v>
      </c>
      <c r="F65" s="2">
        <v>0.25888600000000001</v>
      </c>
      <c r="G65" s="5">
        <v>5.0226000000000003E-3</v>
      </c>
    </row>
    <row r="66" spans="1:13" ht="12.75" x14ac:dyDescent="0.2">
      <c r="A66" t="s">
        <v>83</v>
      </c>
      <c r="B66" t="s">
        <v>17</v>
      </c>
      <c r="C66" s="2">
        <v>0.3125</v>
      </c>
      <c r="D66" s="2">
        <v>0.27230100000000002</v>
      </c>
      <c r="F66" s="2">
        <v>0.25888600000000001</v>
      </c>
      <c r="G66" s="7">
        <v>1.3415099999999999E-2</v>
      </c>
    </row>
    <row r="67" spans="1:13" ht="12.75" x14ac:dyDescent="0.2">
      <c r="A67" t="s">
        <v>84</v>
      </c>
      <c r="B67" t="s">
        <v>17</v>
      </c>
      <c r="C67" s="2">
        <v>0.3125</v>
      </c>
      <c r="D67" s="2">
        <v>0.25551600000000002</v>
      </c>
      <c r="F67" s="2">
        <v>0.25888600000000001</v>
      </c>
      <c r="G67" s="5">
        <v>-3.3698999999999999E-3</v>
      </c>
    </row>
    <row r="68" spans="1:13" ht="12.75" x14ac:dyDescent="0.2"/>
    <row r="69" spans="1:13" ht="12.75" x14ac:dyDescent="0.2"/>
    <row r="70" spans="1:13" ht="12.75" x14ac:dyDescent="0.2">
      <c r="A70" t="s">
        <v>6</v>
      </c>
    </row>
    <row r="71" spans="1:13" ht="12.75" x14ac:dyDescent="0.2">
      <c r="A71" t="s">
        <v>3</v>
      </c>
    </row>
    <row r="72" spans="1:13" ht="12.75" x14ac:dyDescent="0.2">
      <c r="A72" s="19" t="s">
        <v>85</v>
      </c>
      <c r="B72" s="20">
        <v>1</v>
      </c>
      <c r="C72" s="20">
        <v>2</v>
      </c>
      <c r="D72" s="20">
        <v>3</v>
      </c>
      <c r="E72" s="20">
        <v>4</v>
      </c>
      <c r="F72" s="20">
        <v>5</v>
      </c>
      <c r="G72" s="1"/>
      <c r="H72" s="1"/>
      <c r="I72" s="1"/>
      <c r="J72" s="1"/>
      <c r="K72" s="1"/>
      <c r="L72" s="1"/>
      <c r="M72" s="1"/>
    </row>
    <row r="73" spans="1:13" ht="12.75" x14ac:dyDescent="0.2">
      <c r="A73" s="19" t="s">
        <v>8</v>
      </c>
      <c r="B73" s="24">
        <v>0.27230100000000002</v>
      </c>
      <c r="C73" s="24">
        <v>0.25551600000000002</v>
      </c>
      <c r="D73" s="25">
        <v>9.1074199999999994E-2</v>
      </c>
      <c r="E73" s="25">
        <v>8.8750599999999999E-2</v>
      </c>
      <c r="F73" s="24">
        <v>0.21127199999999999</v>
      </c>
    </row>
    <row r="74" spans="1:13" ht="12.75" x14ac:dyDescent="0.2">
      <c r="A74" s="19" t="s">
        <v>9</v>
      </c>
      <c r="B74" s="24">
        <v>0.35244500000000001</v>
      </c>
      <c r="C74" s="24">
        <v>0.379386</v>
      </c>
      <c r="D74" s="25">
        <v>9.3978699999999998E-2</v>
      </c>
      <c r="E74" s="25">
        <v>9.1517399999999999E-2</v>
      </c>
      <c r="F74" s="24">
        <v>0.25405</v>
      </c>
    </row>
    <row r="75" spans="1:13" ht="12.75" x14ac:dyDescent="0.2">
      <c r="A75" s="19" t="s">
        <v>10</v>
      </c>
      <c r="B75" s="24">
        <v>0.57828000000000002</v>
      </c>
      <c r="C75" s="24">
        <v>0.51589700000000005</v>
      </c>
      <c r="D75" s="24">
        <v>0.14391300000000001</v>
      </c>
      <c r="E75" s="24">
        <v>0.136958</v>
      </c>
      <c r="F75" s="24">
        <v>0.50662300000000005</v>
      </c>
    </row>
    <row r="76" spans="1:13" ht="12.75" x14ac:dyDescent="0.2">
      <c r="A76" s="19" t="s">
        <v>11</v>
      </c>
      <c r="B76" s="24">
        <v>0.71552099999999996</v>
      </c>
      <c r="C76" s="24">
        <v>0.69650100000000004</v>
      </c>
      <c r="D76" s="24">
        <v>0.17316999999999999</v>
      </c>
      <c r="E76" s="24">
        <v>0.17047799999999999</v>
      </c>
      <c r="F76" s="24">
        <v>0.615232</v>
      </c>
    </row>
    <row r="77" spans="1:13" ht="12.75" x14ac:dyDescent="0.2">
      <c r="A77" s="19" t="s">
        <v>12</v>
      </c>
      <c r="B77" s="24">
        <v>0.84659300000000004</v>
      </c>
      <c r="C77" s="24">
        <v>0.79430000000000001</v>
      </c>
      <c r="D77" s="24">
        <v>0.129964</v>
      </c>
      <c r="E77" s="24">
        <v>0.13778699999999999</v>
      </c>
      <c r="F77" s="24">
        <v>0.50597400000000003</v>
      </c>
    </row>
    <row r="78" spans="1:13" ht="12.75" x14ac:dyDescent="0.2">
      <c r="A78" s="19" t="s">
        <v>13</v>
      </c>
      <c r="B78" s="24">
        <v>0.91594799999999998</v>
      </c>
      <c r="C78" s="24">
        <v>0.89693599999999996</v>
      </c>
      <c r="D78" s="24">
        <v>0.17261199999999999</v>
      </c>
      <c r="E78" s="24">
        <v>0.16448499999999999</v>
      </c>
      <c r="F78" s="24">
        <v>0.47948200000000002</v>
      </c>
    </row>
    <row r="79" spans="1:13" ht="12.75" x14ac:dyDescent="0.2">
      <c r="A79" s="19" t="s">
        <v>14</v>
      </c>
      <c r="B79" s="24">
        <v>0.95240899999999995</v>
      </c>
      <c r="C79" s="24">
        <v>0.179867</v>
      </c>
      <c r="D79" s="24">
        <v>0.171515</v>
      </c>
      <c r="E79" s="24">
        <v>0.180452</v>
      </c>
      <c r="F79" s="24">
        <v>0.339393</v>
      </c>
    </row>
    <row r="80" spans="1:13" ht="12.75" x14ac:dyDescent="0.2">
      <c r="A80" s="19" t="s">
        <v>15</v>
      </c>
      <c r="B80" s="19"/>
      <c r="C80" s="19"/>
      <c r="D80" s="24">
        <v>0.17061799999999999</v>
      </c>
      <c r="E80" s="24">
        <v>0.163489</v>
      </c>
      <c r="F80" s="24">
        <v>0.379108</v>
      </c>
    </row>
    <row r="81" spans="1:13" ht="12.75" x14ac:dyDescent="0.2"/>
    <row r="82" spans="1:13" ht="12.75" x14ac:dyDescent="0.2">
      <c r="A82" s="19" t="s">
        <v>65</v>
      </c>
      <c r="B82" s="20">
        <v>1</v>
      </c>
      <c r="C82" s="20">
        <v>2</v>
      </c>
      <c r="D82" s="20">
        <v>3</v>
      </c>
      <c r="E82" s="20">
        <v>4</v>
      </c>
      <c r="F82" s="20">
        <v>5</v>
      </c>
      <c r="G82" s="1"/>
      <c r="H82" s="1"/>
      <c r="I82" s="1"/>
      <c r="J82" s="1"/>
      <c r="K82" s="1"/>
      <c r="L82" s="1"/>
      <c r="M82" s="1"/>
    </row>
    <row r="83" spans="1:13" ht="12.75" x14ac:dyDescent="0.2">
      <c r="A83" s="19" t="s">
        <v>8</v>
      </c>
      <c r="B83" s="24">
        <v>0.343773</v>
      </c>
      <c r="C83" s="24">
        <v>0.30476599999999998</v>
      </c>
      <c r="D83" s="19" t="s">
        <v>86</v>
      </c>
      <c r="E83" s="19" t="s">
        <v>86</v>
      </c>
      <c r="F83" s="24">
        <v>0.207122</v>
      </c>
    </row>
    <row r="84" spans="1:13" ht="12.75" x14ac:dyDescent="0.2">
      <c r="A84" s="19" t="s">
        <v>9</v>
      </c>
      <c r="B84" s="24">
        <v>0.55017799999999994</v>
      </c>
      <c r="C84" s="24">
        <v>0.62892599999999999</v>
      </c>
      <c r="D84" s="19" t="s">
        <v>86</v>
      </c>
      <c r="E84" s="19" t="s">
        <v>86</v>
      </c>
      <c r="F84" s="24">
        <v>0.30141499999999999</v>
      </c>
    </row>
    <row r="85" spans="1:13" ht="12.75" x14ac:dyDescent="0.2">
      <c r="A85" s="19" t="s">
        <v>10</v>
      </c>
      <c r="B85" s="26">
        <v>1.47051</v>
      </c>
      <c r="C85" s="26">
        <v>1.14028</v>
      </c>
      <c r="D85" s="25">
        <v>6.7024E-2</v>
      </c>
      <c r="E85" s="25">
        <v>5.2449000000000003E-2</v>
      </c>
      <c r="F85" s="26">
        <v>1.0976999999999999</v>
      </c>
    </row>
    <row r="86" spans="1:13" ht="12.75" x14ac:dyDescent="0.2">
      <c r="A86" s="19" t="s">
        <v>11</v>
      </c>
      <c r="B86" s="26">
        <v>2.6606000000000001</v>
      </c>
      <c r="C86" s="26">
        <v>2.43512</v>
      </c>
      <c r="D86" s="24">
        <v>0.12737299999999999</v>
      </c>
      <c r="E86" s="24">
        <v>0.121825</v>
      </c>
      <c r="F86" s="26">
        <v>1.71214</v>
      </c>
    </row>
    <row r="87" spans="1:13" ht="12.75" x14ac:dyDescent="0.2">
      <c r="A87" s="19" t="s">
        <v>12</v>
      </c>
      <c r="B87" s="26">
        <v>5.6799600000000003</v>
      </c>
      <c r="C87" s="26">
        <v>4.0203100000000003</v>
      </c>
      <c r="D87" s="25">
        <v>3.7506499999999998E-2</v>
      </c>
      <c r="E87" s="25">
        <v>5.41979E-2</v>
      </c>
      <c r="F87" s="26">
        <v>1.09477</v>
      </c>
    </row>
    <row r="88" spans="1:13" ht="12.75" x14ac:dyDescent="0.2">
      <c r="A88" s="19" t="s">
        <v>13</v>
      </c>
      <c r="B88" s="21">
        <v>11.2098</v>
      </c>
      <c r="C88" s="26">
        <v>8.9108300000000007</v>
      </c>
      <c r="D88" s="24">
        <v>0.126223</v>
      </c>
      <c r="E88" s="24">
        <v>0.109489</v>
      </c>
      <c r="F88" s="24">
        <v>0.98091899999999999</v>
      </c>
    </row>
    <row r="89" spans="1:13" ht="12.75" x14ac:dyDescent="0.2">
      <c r="A89" s="19" t="s">
        <v>14</v>
      </c>
      <c r="B89" s="21">
        <v>21.832100000000001</v>
      </c>
      <c r="C89" s="24">
        <v>0.141206</v>
      </c>
      <c r="D89" s="24">
        <v>0.123962</v>
      </c>
      <c r="E89" s="24">
        <v>0.14241699999999999</v>
      </c>
      <c r="F89" s="24">
        <v>0.51392099999999996</v>
      </c>
    </row>
    <row r="90" spans="1:13" ht="12.75" x14ac:dyDescent="0.2">
      <c r="A90" s="19" t="s">
        <v>15</v>
      </c>
      <c r="B90" s="19"/>
      <c r="C90" s="19"/>
      <c r="D90" s="24">
        <v>0.122113</v>
      </c>
      <c r="E90" s="24">
        <v>0.10743999999999999</v>
      </c>
      <c r="F90" s="24">
        <v>0.62808399999999998</v>
      </c>
    </row>
    <row r="91" spans="1:13" ht="12.75" x14ac:dyDescent="0.2"/>
    <row r="92" spans="1:13" ht="12.75" x14ac:dyDescent="0.2">
      <c r="A92" s="19" t="s">
        <v>16</v>
      </c>
      <c r="B92" s="20">
        <v>1</v>
      </c>
      <c r="C92" s="20">
        <v>2</v>
      </c>
      <c r="D92" s="20">
        <v>3</v>
      </c>
      <c r="E92" s="20">
        <v>4</v>
      </c>
      <c r="F92" s="20">
        <v>5</v>
      </c>
      <c r="G92" s="1"/>
      <c r="H92" s="1"/>
      <c r="I92" s="1"/>
      <c r="J92" s="1"/>
      <c r="K92" s="1"/>
      <c r="L92" s="1"/>
      <c r="M92" s="1"/>
    </row>
    <row r="93" spans="1:13" ht="12.75" x14ac:dyDescent="0.2">
      <c r="A93" s="19" t="s">
        <v>8</v>
      </c>
      <c r="B93" s="19" t="s">
        <v>247</v>
      </c>
      <c r="C93" s="19" t="s">
        <v>247</v>
      </c>
      <c r="D93" s="19" t="s">
        <v>205</v>
      </c>
      <c r="E93" s="19" t="s">
        <v>205</v>
      </c>
      <c r="F93" s="19" t="s">
        <v>206</v>
      </c>
    </row>
    <row r="94" spans="1:13" ht="12.75" x14ac:dyDescent="0.2">
      <c r="A94" s="19" t="s">
        <v>9</v>
      </c>
      <c r="B94" s="19" t="s">
        <v>246</v>
      </c>
      <c r="C94" s="19" t="s">
        <v>246</v>
      </c>
      <c r="D94" s="19" t="s">
        <v>207</v>
      </c>
      <c r="E94" s="19" t="s">
        <v>207</v>
      </c>
      <c r="F94" s="19" t="s">
        <v>206</v>
      </c>
    </row>
    <row r="95" spans="1:13" ht="12.75" x14ac:dyDescent="0.2">
      <c r="A95" s="19" t="s">
        <v>10</v>
      </c>
      <c r="B95" s="19" t="s">
        <v>245</v>
      </c>
      <c r="C95" s="19" t="s">
        <v>245</v>
      </c>
      <c r="D95" s="19" t="s">
        <v>208</v>
      </c>
      <c r="E95" s="19" t="s">
        <v>208</v>
      </c>
      <c r="F95" s="19" t="s">
        <v>209</v>
      </c>
    </row>
    <row r="96" spans="1:13" ht="12.75" x14ac:dyDescent="0.2">
      <c r="A96" s="19" t="s">
        <v>11</v>
      </c>
      <c r="B96" s="19" t="s">
        <v>244</v>
      </c>
      <c r="C96" s="19" t="s">
        <v>244</v>
      </c>
      <c r="D96" s="19" t="s">
        <v>210</v>
      </c>
      <c r="E96" s="19" t="s">
        <v>210</v>
      </c>
      <c r="F96" s="19" t="s">
        <v>209</v>
      </c>
    </row>
    <row r="97" spans="1:6" ht="12.75" x14ac:dyDescent="0.2">
      <c r="A97" s="19" t="s">
        <v>12</v>
      </c>
      <c r="B97" s="19" t="s">
        <v>243</v>
      </c>
      <c r="C97" s="19" t="s">
        <v>243</v>
      </c>
      <c r="D97" s="19" t="s">
        <v>211</v>
      </c>
      <c r="E97" s="19" t="s">
        <v>211</v>
      </c>
      <c r="F97" s="19" t="s">
        <v>212</v>
      </c>
    </row>
    <row r="98" spans="1:6" ht="12.75" x14ac:dyDescent="0.2">
      <c r="A98" s="19" t="s">
        <v>13</v>
      </c>
      <c r="B98" s="19" t="s">
        <v>242</v>
      </c>
      <c r="C98" s="19" t="s">
        <v>242</v>
      </c>
      <c r="D98" s="19" t="s">
        <v>213</v>
      </c>
      <c r="E98" s="19" t="s">
        <v>213</v>
      </c>
      <c r="F98" s="19" t="s">
        <v>212</v>
      </c>
    </row>
    <row r="99" spans="1:6" ht="12.75" x14ac:dyDescent="0.2">
      <c r="A99" s="19" t="s">
        <v>14</v>
      </c>
      <c r="B99" s="19" t="s">
        <v>241</v>
      </c>
      <c r="C99" s="19" t="s">
        <v>214</v>
      </c>
      <c r="D99" s="19" t="s">
        <v>215</v>
      </c>
      <c r="E99" s="19" t="s">
        <v>215</v>
      </c>
      <c r="F99" s="19" t="s">
        <v>227</v>
      </c>
    </row>
    <row r="100" spans="1:6" ht="12.75" x14ac:dyDescent="0.2">
      <c r="A100" s="19" t="s">
        <v>15</v>
      </c>
      <c r="B100" s="19" t="s">
        <v>45</v>
      </c>
      <c r="C100" s="19" t="s">
        <v>45</v>
      </c>
      <c r="D100" s="19" t="s">
        <v>216</v>
      </c>
      <c r="E100" s="19" t="s">
        <v>216</v>
      </c>
      <c r="F100" s="19" t="s">
        <v>228</v>
      </c>
    </row>
    <row r="102" spans="1:6" ht="12.75" x14ac:dyDescent="0.2">
      <c r="A102" t="s">
        <v>87</v>
      </c>
    </row>
    <row r="103" spans="1:6" ht="15" customHeight="1" x14ac:dyDescent="0.2">
      <c r="D103" s="22" t="s">
        <v>217</v>
      </c>
      <c r="E103" s="22"/>
    </row>
    <row r="104" spans="1:6" ht="15" customHeight="1" x14ac:dyDescent="0.2">
      <c r="D104" s="23" t="s">
        <v>218</v>
      </c>
      <c r="E104" s="23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5"/>
  <sheetViews>
    <sheetView topLeftCell="A7" workbookViewId="0">
      <selection activeCell="B24" sqref="B24:F31"/>
    </sheetView>
  </sheetViews>
  <sheetFormatPr defaultColWidth="9.140625" defaultRowHeight="15" customHeight="1" x14ac:dyDescent="0.2"/>
  <cols>
    <col min="1" max="1" width="13.28515625" customWidth="1"/>
    <col min="2" max="6" width="19.140625" customWidth="1"/>
    <col min="7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88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t="s">
        <v>89</v>
      </c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/>
      <c r="H13" s="1"/>
      <c r="I13" s="1"/>
      <c r="J13" s="1"/>
      <c r="K13" s="1"/>
      <c r="L13" s="1"/>
      <c r="M13" s="1"/>
    </row>
    <row r="14" spans="1:13" ht="15" customHeight="1" x14ac:dyDescent="0.2">
      <c r="A14" s="19" t="s">
        <v>8</v>
      </c>
      <c r="B14" s="24">
        <v>0.10155599999999999</v>
      </c>
      <c r="C14" s="25">
        <v>8.4770499999999999E-2</v>
      </c>
      <c r="D14" s="25">
        <v>-7.96713E-2</v>
      </c>
      <c r="E14" s="25">
        <v>-8.1994899999999996E-2</v>
      </c>
      <c r="F14" s="25">
        <v>4.05265E-2</v>
      </c>
    </row>
    <row r="15" spans="1:13" ht="15" customHeight="1" x14ac:dyDescent="0.2">
      <c r="A15" s="19" t="s">
        <v>9</v>
      </c>
      <c r="B15" s="24">
        <v>0.1817</v>
      </c>
      <c r="C15" s="24">
        <v>0.20864099999999999</v>
      </c>
      <c r="D15" s="25">
        <v>-7.6766799999999996E-2</v>
      </c>
      <c r="E15" s="25">
        <v>-7.9228099999999996E-2</v>
      </c>
      <c r="F15" s="25">
        <v>8.3304500000000004E-2</v>
      </c>
    </row>
    <row r="16" spans="1:13" ht="15" customHeight="1" x14ac:dyDescent="0.2">
      <c r="A16" s="19" t="s">
        <v>10</v>
      </c>
      <c r="B16" s="24">
        <v>0.40753499999999998</v>
      </c>
      <c r="C16" s="24">
        <v>0.34515200000000001</v>
      </c>
      <c r="D16" s="25">
        <v>-2.6832499999999999E-2</v>
      </c>
      <c r="E16" s="25">
        <v>-3.3787499999999998E-2</v>
      </c>
      <c r="F16" s="24">
        <v>0.33587800000000001</v>
      </c>
    </row>
    <row r="17" spans="1:13" ht="15" customHeight="1" x14ac:dyDescent="0.2">
      <c r="A17" s="19" t="s">
        <v>11</v>
      </c>
      <c r="B17" s="24">
        <v>0.54477600000000004</v>
      </c>
      <c r="C17" s="24">
        <v>0.525756</v>
      </c>
      <c r="D17" s="27">
        <v>2.4245E-3</v>
      </c>
      <c r="E17" s="28">
        <v>-2.675E-4</v>
      </c>
      <c r="F17" s="24">
        <v>0.44448700000000002</v>
      </c>
    </row>
    <row r="18" spans="1:13" ht="15" customHeight="1" x14ac:dyDescent="0.2">
      <c r="A18" s="19" t="s">
        <v>12</v>
      </c>
      <c r="B18" s="24">
        <v>0.675848</v>
      </c>
      <c r="C18" s="24">
        <v>0.62355499999999997</v>
      </c>
      <c r="D18" s="25">
        <v>-4.0781499999999998E-2</v>
      </c>
      <c r="E18" s="25">
        <v>-3.2958500000000002E-2</v>
      </c>
      <c r="F18" s="24">
        <v>0.335229</v>
      </c>
    </row>
    <row r="19" spans="1:13" ht="15" customHeight="1" x14ac:dyDescent="0.2">
      <c r="A19" s="19" t="s">
        <v>13</v>
      </c>
      <c r="B19" s="24">
        <v>0.74520299999999995</v>
      </c>
      <c r="C19" s="24">
        <v>0.72619100000000003</v>
      </c>
      <c r="D19" s="27">
        <v>1.8665000000000001E-3</v>
      </c>
      <c r="E19" s="27">
        <v>-6.2604999999999996E-3</v>
      </c>
      <c r="F19" s="24">
        <v>0.30873699999999998</v>
      </c>
    </row>
    <row r="20" spans="1:13" ht="15" customHeight="1" x14ac:dyDescent="0.2">
      <c r="A20" s="19" t="s">
        <v>14</v>
      </c>
      <c r="B20" s="24">
        <v>0.78166400000000003</v>
      </c>
      <c r="C20" s="27">
        <v>9.1214999999999994E-3</v>
      </c>
      <c r="D20" s="28">
        <v>7.695E-4</v>
      </c>
      <c r="E20" s="27">
        <v>9.7064999999999999E-3</v>
      </c>
      <c r="F20" s="24">
        <v>0.16864799999999999</v>
      </c>
    </row>
    <row r="21" spans="1:13" ht="15" customHeight="1" x14ac:dyDescent="0.2">
      <c r="A21" s="19" t="s">
        <v>15</v>
      </c>
      <c r="B21" s="28">
        <v>5.6849999999999999E-4</v>
      </c>
      <c r="C21" s="28">
        <v>-5.6849999999999999E-4</v>
      </c>
      <c r="D21" s="28">
        <v>-1.2750000000000001E-4</v>
      </c>
      <c r="E21" s="27">
        <v>-7.2564999999999999E-3</v>
      </c>
      <c r="F21" s="24">
        <v>0.20836299999999999</v>
      </c>
    </row>
    <row r="23" spans="1:13" ht="15" customHeight="1" x14ac:dyDescent="0.2">
      <c r="A23" s="19" t="s">
        <v>16</v>
      </c>
      <c r="B23" s="20">
        <v>1</v>
      </c>
      <c r="C23" s="20">
        <v>2</v>
      </c>
      <c r="D23" s="20">
        <v>3</v>
      </c>
      <c r="E23" s="20">
        <v>4</v>
      </c>
      <c r="F23" s="20">
        <v>5</v>
      </c>
      <c r="G23" s="1"/>
      <c r="H23" s="1"/>
      <c r="I23" s="1"/>
      <c r="J23" s="1"/>
      <c r="K23" s="1"/>
      <c r="L23" s="1"/>
      <c r="M23" s="1"/>
    </row>
    <row r="24" spans="1:13" ht="15" customHeight="1" x14ac:dyDescent="0.2">
      <c r="A24" s="19" t="s">
        <v>8</v>
      </c>
      <c r="B24" s="19" t="s">
        <v>247</v>
      </c>
      <c r="C24" s="19" t="s">
        <v>247</v>
      </c>
      <c r="D24" s="19" t="s">
        <v>205</v>
      </c>
      <c r="E24" s="19" t="s">
        <v>205</v>
      </c>
      <c r="F24" s="19" t="s">
        <v>206</v>
      </c>
    </row>
    <row r="25" spans="1:13" ht="15" customHeight="1" x14ac:dyDescent="0.2">
      <c r="A25" s="19" t="s">
        <v>9</v>
      </c>
      <c r="B25" s="19" t="s">
        <v>246</v>
      </c>
      <c r="C25" s="19" t="s">
        <v>246</v>
      </c>
      <c r="D25" s="19" t="s">
        <v>207</v>
      </c>
      <c r="E25" s="19" t="s">
        <v>207</v>
      </c>
      <c r="F25" s="19" t="s">
        <v>206</v>
      </c>
    </row>
    <row r="26" spans="1:13" ht="15" customHeight="1" x14ac:dyDescent="0.2">
      <c r="A26" s="19" t="s">
        <v>10</v>
      </c>
      <c r="B26" s="19" t="s">
        <v>245</v>
      </c>
      <c r="C26" s="19" t="s">
        <v>245</v>
      </c>
      <c r="D26" s="19" t="s">
        <v>208</v>
      </c>
      <c r="E26" s="19" t="s">
        <v>208</v>
      </c>
      <c r="F26" s="19" t="s">
        <v>209</v>
      </c>
    </row>
    <row r="27" spans="1:13" ht="15" customHeight="1" x14ac:dyDescent="0.2">
      <c r="A27" s="19" t="s">
        <v>11</v>
      </c>
      <c r="B27" s="19" t="s">
        <v>244</v>
      </c>
      <c r="C27" s="19" t="s">
        <v>244</v>
      </c>
      <c r="D27" s="19" t="s">
        <v>210</v>
      </c>
      <c r="E27" s="19" t="s">
        <v>210</v>
      </c>
      <c r="F27" s="19" t="s">
        <v>209</v>
      </c>
    </row>
    <row r="28" spans="1:13" ht="15" customHeight="1" x14ac:dyDescent="0.2">
      <c r="A28" s="19" t="s">
        <v>12</v>
      </c>
      <c r="B28" s="19" t="s">
        <v>243</v>
      </c>
      <c r="C28" s="19" t="s">
        <v>243</v>
      </c>
      <c r="D28" s="19" t="s">
        <v>211</v>
      </c>
      <c r="E28" s="19" t="s">
        <v>211</v>
      </c>
      <c r="F28" s="19" t="s">
        <v>212</v>
      </c>
    </row>
    <row r="29" spans="1:13" ht="15" customHeight="1" x14ac:dyDescent="0.2">
      <c r="A29" s="19" t="s">
        <v>13</v>
      </c>
      <c r="B29" s="19" t="s">
        <v>242</v>
      </c>
      <c r="C29" s="19" t="s">
        <v>242</v>
      </c>
      <c r="D29" s="19" t="s">
        <v>213</v>
      </c>
      <c r="E29" s="19" t="s">
        <v>213</v>
      </c>
      <c r="F29" s="19" t="s">
        <v>212</v>
      </c>
    </row>
    <row r="30" spans="1:13" ht="15" customHeight="1" x14ac:dyDescent="0.2">
      <c r="A30" s="19" t="s">
        <v>14</v>
      </c>
      <c r="B30" s="19" t="s">
        <v>241</v>
      </c>
      <c r="C30" s="19" t="s">
        <v>214</v>
      </c>
      <c r="D30" s="19" t="s">
        <v>215</v>
      </c>
      <c r="E30" s="19" t="s">
        <v>215</v>
      </c>
      <c r="F30" s="19" t="s">
        <v>227</v>
      </c>
    </row>
    <row r="31" spans="1:13" ht="15" customHeight="1" x14ac:dyDescent="0.2">
      <c r="A31" s="19" t="s">
        <v>15</v>
      </c>
      <c r="B31" s="19" t="s">
        <v>45</v>
      </c>
      <c r="C31" s="19" t="s">
        <v>45</v>
      </c>
      <c r="D31" s="19" t="s">
        <v>216</v>
      </c>
      <c r="E31" s="19" t="s">
        <v>216</v>
      </c>
      <c r="F31" s="19" t="s">
        <v>228</v>
      </c>
    </row>
    <row r="33" spans="1:5" ht="15" customHeight="1" x14ac:dyDescent="0.2">
      <c r="A33" t="s">
        <v>90</v>
      </c>
    </row>
    <row r="34" spans="1:5" ht="15" customHeight="1" x14ac:dyDescent="0.2">
      <c r="D34" s="22" t="s">
        <v>217</v>
      </c>
      <c r="E34" s="22"/>
    </row>
    <row r="35" spans="1:5" ht="15" customHeight="1" x14ac:dyDescent="0.2">
      <c r="D35" s="23" t="s">
        <v>218</v>
      </c>
      <c r="E35" s="2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R105"/>
  <sheetViews>
    <sheetView tabSelected="1" topLeftCell="A67" workbookViewId="0">
      <selection activeCell="O83" sqref="O83"/>
    </sheetView>
  </sheetViews>
  <sheetFormatPr defaultColWidth="9.140625" defaultRowHeight="15" customHeight="1" x14ac:dyDescent="0.2"/>
  <cols>
    <col min="1" max="1" width="14.5703125" customWidth="1"/>
    <col min="2" max="2" width="12" customWidth="1"/>
    <col min="3" max="3" width="16.28515625" customWidth="1"/>
    <col min="4" max="4" width="14.42578125" customWidth="1"/>
    <col min="5" max="5" width="14.140625" customWidth="1"/>
    <col min="6" max="6" width="19.140625" customWidth="1"/>
    <col min="7" max="7" width="14.140625" customWidth="1"/>
    <col min="8" max="9" width="6.28515625" customWidth="1"/>
    <col min="10" max="10" width="19.42578125" style="40" customWidth="1"/>
    <col min="11" max="13" width="12.140625" customWidth="1"/>
    <col min="15" max="16" width="13.140625" customWidth="1"/>
    <col min="17" max="17" width="16.7109375" customWidth="1"/>
    <col min="18" max="18" width="18.28515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91</v>
      </c>
    </row>
    <row r="7" spans="1:1" ht="15" customHeight="1" x14ac:dyDescent="0.2">
      <c r="A7" t="s">
        <v>51</v>
      </c>
    </row>
    <row r="8" spans="1:1" ht="15" customHeight="1" x14ac:dyDescent="0.2">
      <c r="A8" t="s">
        <v>52</v>
      </c>
    </row>
    <row r="9" spans="1:1" ht="15" customHeight="1" x14ac:dyDescent="0.2">
      <c r="A9" t="s">
        <v>53</v>
      </c>
    </row>
    <row r="10" spans="1:1" ht="15" customHeight="1" x14ac:dyDescent="0.2">
      <c r="A10" t="s">
        <v>5</v>
      </c>
    </row>
    <row r="11" spans="1:1" ht="15" customHeight="1" x14ac:dyDescent="0.2">
      <c r="A11" t="s">
        <v>54</v>
      </c>
    </row>
    <row r="12" spans="1:1" ht="15" customHeight="1" x14ac:dyDescent="0.2">
      <c r="A12" t="s">
        <v>55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92</v>
      </c>
    </row>
    <row r="38" spans="1:7" ht="15" customHeight="1" x14ac:dyDescent="0.2">
      <c r="A38" t="s">
        <v>57</v>
      </c>
    </row>
    <row r="39" spans="1:7" ht="12.75" x14ac:dyDescent="0.2">
      <c r="A39" t="s">
        <v>58</v>
      </c>
    </row>
    <row r="40" spans="1:7" ht="12.75" x14ac:dyDescent="0.2">
      <c r="A40" t="s">
        <v>59</v>
      </c>
      <c r="B40" s="7">
        <v>-5.6450599999999997E-2</v>
      </c>
    </row>
    <row r="41" spans="1:7" ht="12.75" x14ac:dyDescent="0.2">
      <c r="A41" t="s">
        <v>60</v>
      </c>
      <c r="B41" s="3">
        <v>1.12497</v>
      </c>
    </row>
    <row r="42" spans="1:7" ht="12.75" x14ac:dyDescent="0.2">
      <c r="A42" t="s">
        <v>61</v>
      </c>
      <c r="B42" s="3">
        <v>1.31657</v>
      </c>
    </row>
    <row r="43" spans="1:7" ht="12.75" x14ac:dyDescent="0.2">
      <c r="A43" t="s">
        <v>62</v>
      </c>
      <c r="B43" s="2">
        <v>0.81724600000000003</v>
      </c>
    </row>
    <row r="44" spans="1:7" ht="12.75" x14ac:dyDescent="0.2"/>
    <row r="45" spans="1:7" ht="12.75" x14ac:dyDescent="0.2">
      <c r="A45" t="s">
        <v>63</v>
      </c>
    </row>
    <row r="46" spans="1:7" ht="12.75" x14ac:dyDescent="0.2">
      <c r="A46" t="s">
        <v>3</v>
      </c>
    </row>
    <row r="47" spans="1:7" ht="12.75" x14ac:dyDescent="0.2">
      <c r="A47" t="s">
        <v>64</v>
      </c>
      <c r="B47" t="s">
        <v>16</v>
      </c>
      <c r="C47" t="s">
        <v>65</v>
      </c>
      <c r="D47" t="s">
        <v>66</v>
      </c>
      <c r="E47" t="s">
        <v>67</v>
      </c>
      <c r="F47" t="s">
        <v>68</v>
      </c>
      <c r="G47" t="s">
        <v>69</v>
      </c>
    </row>
    <row r="48" spans="1:7" ht="12.75" x14ac:dyDescent="0.2">
      <c r="A48" t="s">
        <v>70</v>
      </c>
      <c r="B48" t="s">
        <v>41</v>
      </c>
      <c r="C48" s="4">
        <v>20</v>
      </c>
      <c r="D48" s="2">
        <v>0.78166400000000003</v>
      </c>
      <c r="E48" t="s">
        <v>71</v>
      </c>
      <c r="F48" s="2">
        <v>0.77814099999999997</v>
      </c>
      <c r="G48" s="5">
        <v>3.5222000000000001E-3</v>
      </c>
    </row>
    <row r="49" spans="1:7" ht="12.75" x14ac:dyDescent="0.2">
      <c r="A49" t="s">
        <v>72</v>
      </c>
      <c r="B49" t="s">
        <v>41</v>
      </c>
      <c r="C49" s="4">
        <v>20</v>
      </c>
      <c r="D49" s="2">
        <v>0.78166400000000003</v>
      </c>
      <c r="F49" s="2">
        <v>0.77814099999999997</v>
      </c>
      <c r="G49" s="5">
        <v>3.5222000000000001E-3</v>
      </c>
    </row>
    <row r="50" spans="1:7" ht="12.75" x14ac:dyDescent="0.2">
      <c r="A50" t="s">
        <v>70</v>
      </c>
      <c r="B50" t="s">
        <v>37</v>
      </c>
      <c r="C50" s="4">
        <v>10</v>
      </c>
      <c r="D50" s="2">
        <v>0.73569700000000005</v>
      </c>
      <c r="E50" s="3">
        <v>1.8273200000000001</v>
      </c>
      <c r="F50" s="2">
        <v>0.73624199999999995</v>
      </c>
      <c r="G50" s="6">
        <v>-5.4525000000000005E-4</v>
      </c>
    </row>
    <row r="51" spans="1:7" ht="12.75" x14ac:dyDescent="0.2">
      <c r="A51" t="s">
        <v>73</v>
      </c>
      <c r="B51" t="s">
        <v>37</v>
      </c>
      <c r="C51" s="4">
        <v>10</v>
      </c>
      <c r="D51" s="2">
        <v>0.74520299999999995</v>
      </c>
      <c r="F51" s="2">
        <v>0.73624199999999995</v>
      </c>
      <c r="G51" s="5">
        <v>8.96075E-3</v>
      </c>
    </row>
    <row r="52" spans="1:7" ht="12.75" x14ac:dyDescent="0.2">
      <c r="A52" t="s">
        <v>74</v>
      </c>
      <c r="B52" t="s">
        <v>37</v>
      </c>
      <c r="C52" s="4">
        <v>10</v>
      </c>
      <c r="D52" s="2">
        <v>0.72619100000000003</v>
      </c>
      <c r="F52" s="2">
        <v>0.73624199999999995</v>
      </c>
      <c r="G52" s="7">
        <v>-1.00512E-2</v>
      </c>
    </row>
    <row r="53" spans="1:7" ht="12.75" x14ac:dyDescent="0.2">
      <c r="A53" t="s">
        <v>70</v>
      </c>
      <c r="B53" t="s">
        <v>33</v>
      </c>
      <c r="C53" s="3">
        <v>5</v>
      </c>
      <c r="D53" s="2">
        <v>0.64970099999999997</v>
      </c>
      <c r="E53" s="3">
        <v>5.6913499999999999</v>
      </c>
      <c r="F53" s="2">
        <v>0.65801299999999996</v>
      </c>
      <c r="G53" s="5">
        <v>-8.31228E-3</v>
      </c>
    </row>
    <row r="54" spans="1:7" ht="12.75" x14ac:dyDescent="0.2">
      <c r="A54" t="s">
        <v>75</v>
      </c>
      <c r="B54" t="s">
        <v>33</v>
      </c>
      <c r="C54" s="3">
        <v>5</v>
      </c>
      <c r="D54" s="2">
        <v>0.675848</v>
      </c>
      <c r="F54" s="2">
        <v>0.65801299999999996</v>
      </c>
      <c r="G54" s="7">
        <v>1.7834200000000001E-2</v>
      </c>
    </row>
    <row r="55" spans="1:7" ht="12.75" x14ac:dyDescent="0.2">
      <c r="A55" t="s">
        <v>76</v>
      </c>
      <c r="B55" t="s">
        <v>33</v>
      </c>
      <c r="C55" s="3">
        <v>5</v>
      </c>
      <c r="D55" s="2">
        <v>0.62355499999999997</v>
      </c>
      <c r="F55" s="2">
        <v>0.65801299999999996</v>
      </c>
      <c r="G55" s="7">
        <v>-3.4458799999999998E-2</v>
      </c>
    </row>
    <row r="56" spans="1:7" ht="12.75" x14ac:dyDescent="0.2">
      <c r="A56" t="s">
        <v>70</v>
      </c>
      <c r="B56" t="s">
        <v>29</v>
      </c>
      <c r="C56" s="3">
        <v>2.5</v>
      </c>
      <c r="D56" s="2">
        <v>0.53526600000000002</v>
      </c>
      <c r="E56" s="3">
        <v>2.5126200000000001</v>
      </c>
      <c r="F56" s="2">
        <v>0.53147299999999997</v>
      </c>
      <c r="G56" s="5">
        <v>3.7928900000000002E-3</v>
      </c>
    </row>
    <row r="57" spans="1:7" ht="12.75" x14ac:dyDescent="0.2">
      <c r="A57" t="s">
        <v>77</v>
      </c>
      <c r="B57" t="s">
        <v>29</v>
      </c>
      <c r="C57" s="3">
        <v>2.5</v>
      </c>
      <c r="D57" s="2">
        <v>0.54477600000000004</v>
      </c>
      <c r="F57" s="2">
        <v>0.53147299999999997</v>
      </c>
      <c r="G57" s="7">
        <v>1.3302899999999999E-2</v>
      </c>
    </row>
    <row r="58" spans="1:7" ht="12.75" x14ac:dyDescent="0.2">
      <c r="A58" t="s">
        <v>78</v>
      </c>
      <c r="B58" t="s">
        <v>29</v>
      </c>
      <c r="C58" s="3">
        <v>2.5</v>
      </c>
      <c r="D58" s="2">
        <v>0.525756</v>
      </c>
      <c r="F58" s="2">
        <v>0.53147299999999997</v>
      </c>
      <c r="G58" s="5">
        <v>-5.7171100000000001E-3</v>
      </c>
    </row>
    <row r="59" spans="1:7" ht="12.75" x14ac:dyDescent="0.2">
      <c r="A59" t="s">
        <v>70</v>
      </c>
      <c r="B59" t="s">
        <v>25</v>
      </c>
      <c r="C59" s="3">
        <v>1.25</v>
      </c>
      <c r="D59" s="2">
        <v>0.37634299999999998</v>
      </c>
      <c r="E59" s="4">
        <v>11.7211</v>
      </c>
      <c r="F59" s="2">
        <v>0.36765199999999998</v>
      </c>
      <c r="G59" s="5">
        <v>8.6914499999999999E-3</v>
      </c>
    </row>
    <row r="60" spans="1:7" ht="12.75" x14ac:dyDescent="0.2">
      <c r="A60" t="s">
        <v>79</v>
      </c>
      <c r="B60" t="s">
        <v>25</v>
      </c>
      <c r="C60" s="3">
        <v>1.25</v>
      </c>
      <c r="D60" s="2">
        <v>0.40753499999999998</v>
      </c>
      <c r="F60" s="2">
        <v>0.36765199999999998</v>
      </c>
      <c r="G60" s="7">
        <v>3.9882899999999999E-2</v>
      </c>
    </row>
    <row r="61" spans="1:7" ht="12.75" x14ac:dyDescent="0.2">
      <c r="A61" t="s">
        <v>80</v>
      </c>
      <c r="B61" t="s">
        <v>25</v>
      </c>
      <c r="C61" s="3">
        <v>1.25</v>
      </c>
      <c r="D61" s="2">
        <v>0.34515200000000001</v>
      </c>
      <c r="F61" s="2">
        <v>0.36765199999999998</v>
      </c>
      <c r="G61" s="7">
        <v>-2.2500099999999999E-2</v>
      </c>
    </row>
    <row r="62" spans="1:7" ht="12.75" x14ac:dyDescent="0.2">
      <c r="A62" t="s">
        <v>70</v>
      </c>
      <c r="B62" t="s">
        <v>21</v>
      </c>
      <c r="C62" s="2">
        <v>0.625</v>
      </c>
      <c r="D62" s="2">
        <v>0.19517000000000001</v>
      </c>
      <c r="E62" s="3">
        <v>9.7608099999999993</v>
      </c>
      <c r="F62" s="2">
        <v>0.207342</v>
      </c>
      <c r="G62" s="7">
        <v>-1.2171599999999999E-2</v>
      </c>
    </row>
    <row r="63" spans="1:7" ht="12.75" x14ac:dyDescent="0.2">
      <c r="A63" t="s">
        <v>81</v>
      </c>
      <c r="B63" t="s">
        <v>21</v>
      </c>
      <c r="C63" s="2">
        <v>0.625</v>
      </c>
      <c r="D63" s="2">
        <v>0.1817</v>
      </c>
      <c r="F63" s="2">
        <v>0.207342</v>
      </c>
      <c r="G63" s="7">
        <v>-2.5642100000000001E-2</v>
      </c>
    </row>
    <row r="64" spans="1:7" ht="12.75" x14ac:dyDescent="0.2">
      <c r="A64" t="s">
        <v>82</v>
      </c>
      <c r="B64" t="s">
        <v>21</v>
      </c>
      <c r="C64" s="2">
        <v>0.625</v>
      </c>
      <c r="D64" s="2">
        <v>0.20864099999999999</v>
      </c>
      <c r="F64" s="2">
        <v>0.207342</v>
      </c>
      <c r="G64" s="5">
        <v>1.29889E-3</v>
      </c>
    </row>
    <row r="65" spans="1:18" ht="12.75" x14ac:dyDescent="0.2">
      <c r="A65" t="s">
        <v>70</v>
      </c>
      <c r="B65" t="s">
        <v>17</v>
      </c>
      <c r="C65" s="2">
        <v>0.3125</v>
      </c>
      <c r="D65" s="7">
        <v>9.3162999999999996E-2</v>
      </c>
      <c r="E65" s="4">
        <v>12.739800000000001</v>
      </c>
      <c r="F65" s="7">
        <v>8.8140399999999994E-2</v>
      </c>
      <c r="G65" s="5">
        <v>5.0226000000000003E-3</v>
      </c>
    </row>
    <row r="66" spans="1:18" ht="12.75" x14ac:dyDescent="0.2">
      <c r="A66" t="s">
        <v>83</v>
      </c>
      <c r="B66" t="s">
        <v>17</v>
      </c>
      <c r="C66" s="2">
        <v>0.3125</v>
      </c>
      <c r="D66" s="2">
        <v>0.10155599999999999</v>
      </c>
      <c r="F66" s="7">
        <v>8.8140399999999994E-2</v>
      </c>
      <c r="G66" s="7">
        <v>1.3415099999999999E-2</v>
      </c>
    </row>
    <row r="67" spans="1:18" ht="12.75" x14ac:dyDescent="0.2">
      <c r="A67" t="s">
        <v>84</v>
      </c>
      <c r="B67" t="s">
        <v>17</v>
      </c>
      <c r="C67" s="2">
        <v>0.3125</v>
      </c>
      <c r="D67" s="7">
        <v>8.4770499999999999E-2</v>
      </c>
      <c r="F67" s="7">
        <v>8.8140399999999994E-2</v>
      </c>
      <c r="G67" s="5">
        <v>-3.3698999999999999E-3</v>
      </c>
    </row>
    <row r="68" spans="1:18" ht="12.75" x14ac:dyDescent="0.2"/>
    <row r="69" spans="1:18" ht="12.75" x14ac:dyDescent="0.2"/>
    <row r="70" spans="1:18" ht="12.75" x14ac:dyDescent="0.2">
      <c r="A70" t="s">
        <v>6</v>
      </c>
    </row>
    <row r="71" spans="1:18" ht="12.75" x14ac:dyDescent="0.2">
      <c r="A71" t="s">
        <v>3</v>
      </c>
    </row>
    <row r="72" spans="1:18" ht="12.75" x14ac:dyDescent="0.2">
      <c r="A72" s="19" t="s">
        <v>85</v>
      </c>
      <c r="B72" s="20">
        <v>1</v>
      </c>
      <c r="C72" s="20">
        <v>2</v>
      </c>
      <c r="D72" s="20">
        <v>3</v>
      </c>
      <c r="E72" s="20">
        <v>4</v>
      </c>
      <c r="F72" s="20">
        <v>5</v>
      </c>
      <c r="G72" s="1"/>
      <c r="H72" s="1"/>
      <c r="I72" s="1"/>
    </row>
    <row r="73" spans="1:18" ht="12.75" x14ac:dyDescent="0.2">
      <c r="A73" s="19" t="s">
        <v>8</v>
      </c>
      <c r="B73" s="24">
        <v>0.10155599999999999</v>
      </c>
      <c r="C73" s="25">
        <v>8.4770499999999999E-2</v>
      </c>
      <c r="D73" s="25">
        <v>-7.96713E-2</v>
      </c>
      <c r="E73" s="25">
        <v>-8.1994899999999996E-2</v>
      </c>
      <c r="F73" s="25">
        <v>4.05265E-2</v>
      </c>
      <c r="K73" s="31" t="s">
        <v>225</v>
      </c>
      <c r="L73" s="31"/>
    </row>
    <row r="74" spans="1:18" ht="12.75" x14ac:dyDescent="0.2">
      <c r="A74" s="19" t="s">
        <v>9</v>
      </c>
      <c r="B74" s="24">
        <v>0.1817</v>
      </c>
      <c r="C74" s="24">
        <v>0.20864099999999999</v>
      </c>
      <c r="D74" s="25">
        <v>-7.6766799999999996E-2</v>
      </c>
      <c r="E74" s="25">
        <v>-7.9228099999999996E-2</v>
      </c>
      <c r="F74" s="25">
        <v>8.3304500000000004E-2</v>
      </c>
      <c r="J74" s="41" t="s">
        <v>219</v>
      </c>
      <c r="K74" s="19" t="s">
        <v>220</v>
      </c>
      <c r="L74" s="19" t="s">
        <v>221</v>
      </c>
      <c r="M74" s="19" t="s">
        <v>222</v>
      </c>
    </row>
    <row r="75" spans="1:18" ht="12.75" x14ac:dyDescent="0.2">
      <c r="A75" s="19" t="s">
        <v>10</v>
      </c>
      <c r="B75" s="24">
        <v>0.40753499999999998</v>
      </c>
      <c r="C75" s="24">
        <v>0.34515200000000001</v>
      </c>
      <c r="D75" s="25">
        <v>-2.6832499999999999E-2</v>
      </c>
      <c r="E75" s="25">
        <v>-3.3787499999999998E-2</v>
      </c>
      <c r="F75" s="24">
        <v>0.33587800000000001</v>
      </c>
      <c r="J75" s="42" t="s">
        <v>250</v>
      </c>
      <c r="K75" s="43" t="s">
        <v>234</v>
      </c>
      <c r="L75" s="39" t="e">
        <f>J75*K75</f>
        <v>#VALUE!</v>
      </c>
      <c r="M75" s="19"/>
    </row>
    <row r="76" spans="1:18" ht="12.75" x14ac:dyDescent="0.2">
      <c r="A76" s="19" t="s">
        <v>11</v>
      </c>
      <c r="B76" s="24">
        <v>0.54477600000000004</v>
      </c>
      <c r="C76" s="24">
        <v>0.525756</v>
      </c>
      <c r="D76" s="27">
        <v>2.4245E-3</v>
      </c>
      <c r="E76" s="28">
        <v>-2.675E-4</v>
      </c>
      <c r="F76" s="24">
        <v>0.44448700000000002</v>
      </c>
      <c r="J76" s="42" t="s">
        <v>248</v>
      </c>
      <c r="K76" s="43" t="s">
        <v>234</v>
      </c>
      <c r="L76" s="39" t="e">
        <f t="shared" ref="L76:L78" si="0">J76*K76</f>
        <v>#VALUE!</v>
      </c>
      <c r="M76" s="19"/>
    </row>
    <row r="77" spans="1:18" ht="12.75" x14ac:dyDescent="0.2">
      <c r="A77" s="19" t="s">
        <v>12</v>
      </c>
      <c r="B77" s="24">
        <v>0.675848</v>
      </c>
      <c r="C77" s="24">
        <v>0.62355499999999997</v>
      </c>
      <c r="D77" s="25">
        <v>-4.0781499999999998E-2</v>
      </c>
      <c r="E77" s="25">
        <v>-3.2958500000000002E-2</v>
      </c>
      <c r="F77" s="24">
        <v>0.335229</v>
      </c>
      <c r="J77" s="42" t="s">
        <v>122</v>
      </c>
      <c r="K77" s="19">
        <v>5.9736499999999998E-2</v>
      </c>
      <c r="L77" s="39">
        <f t="shared" si="0"/>
        <v>1.4934125</v>
      </c>
      <c r="M77" s="19"/>
    </row>
    <row r="78" spans="1:18" ht="12.75" x14ac:dyDescent="0.2">
      <c r="A78" s="19" t="s">
        <v>13</v>
      </c>
      <c r="B78" s="24">
        <v>0.74520299999999995</v>
      </c>
      <c r="C78" s="24">
        <v>0.72619100000000003</v>
      </c>
      <c r="D78" s="27">
        <v>1.8665000000000001E-3</v>
      </c>
      <c r="E78" s="27">
        <v>-6.2604999999999996E-3</v>
      </c>
      <c r="F78" s="24">
        <v>0.30873699999999998</v>
      </c>
      <c r="J78" s="42" t="s">
        <v>249</v>
      </c>
      <c r="K78" s="19">
        <v>0.12459899999999999</v>
      </c>
      <c r="L78" s="39">
        <f t="shared" si="0"/>
        <v>15.574874999999999</v>
      </c>
      <c r="M78" s="19"/>
      <c r="O78" s="32" t="s">
        <v>229</v>
      </c>
      <c r="P78" s="32"/>
      <c r="Q78" s="32"/>
      <c r="R78" s="32"/>
    </row>
    <row r="79" spans="1:18" ht="12.75" x14ac:dyDescent="0.2">
      <c r="A79" s="19" t="s">
        <v>14</v>
      </c>
      <c r="B79" s="24">
        <v>0.78166400000000003</v>
      </c>
      <c r="C79" s="27">
        <v>9.1214999999999994E-3</v>
      </c>
      <c r="D79" s="28">
        <v>7.695E-4</v>
      </c>
      <c r="E79" s="27">
        <v>9.7064999999999999E-3</v>
      </c>
      <c r="F79" s="24">
        <v>0.16864799999999999</v>
      </c>
      <c r="O79" s="33" t="s">
        <v>230</v>
      </c>
      <c r="P79" s="33" t="s">
        <v>231</v>
      </c>
      <c r="Q79" s="33" t="s">
        <v>232</v>
      </c>
      <c r="R79" s="34" t="s">
        <v>233</v>
      </c>
    </row>
    <row r="80" spans="1:18" ht="12.75" x14ac:dyDescent="0.2">
      <c r="A80" s="19" t="s">
        <v>15</v>
      </c>
      <c r="B80" s="19"/>
      <c r="C80" s="19"/>
      <c r="D80" s="28">
        <v>-1.2750000000000001E-4</v>
      </c>
      <c r="E80" s="27">
        <v>-7.2564999999999999E-3</v>
      </c>
      <c r="F80" s="24">
        <v>0.20836299999999999</v>
      </c>
      <c r="J80" s="41"/>
      <c r="K80" s="19" t="s">
        <v>223</v>
      </c>
      <c r="L80" s="19" t="s">
        <v>224</v>
      </c>
      <c r="M80" s="19" t="s">
        <v>222</v>
      </c>
      <c r="O80" s="33">
        <v>210</v>
      </c>
      <c r="P80" s="33">
        <v>30</v>
      </c>
      <c r="Q80" s="19">
        <v>20</v>
      </c>
      <c r="R80" s="35">
        <v>2.5</v>
      </c>
    </row>
    <row r="81" spans="1:17" ht="12.75" x14ac:dyDescent="0.2">
      <c r="J81" s="41" t="s">
        <v>235</v>
      </c>
      <c r="K81" s="19" t="s">
        <v>234</v>
      </c>
      <c r="L81" s="19">
        <v>0.25426850000000001</v>
      </c>
      <c r="M81" s="19" t="e">
        <f>(L81/K81)*100</f>
        <v>#VALUE!</v>
      </c>
    </row>
    <row r="82" spans="1:17" ht="12.75" x14ac:dyDescent="0.2">
      <c r="A82" s="19" t="s">
        <v>65</v>
      </c>
      <c r="B82" s="20">
        <v>1</v>
      </c>
      <c r="C82" s="20">
        <v>2</v>
      </c>
      <c r="D82" s="20">
        <v>3</v>
      </c>
      <c r="E82" s="20">
        <v>4</v>
      </c>
      <c r="F82" s="20">
        <v>5</v>
      </c>
      <c r="G82" s="1"/>
      <c r="H82" s="1"/>
      <c r="I82" s="1"/>
      <c r="J82" s="41" t="s">
        <v>236</v>
      </c>
      <c r="K82" s="19">
        <v>2.552</v>
      </c>
      <c r="L82" s="19">
        <v>1.4</v>
      </c>
      <c r="M82" s="19">
        <f t="shared" ref="M82:M83" si="1">(L82/K82)*100</f>
        <v>54.858934169278996</v>
      </c>
    </row>
    <row r="83" spans="1:17" ht="12.75" x14ac:dyDescent="0.2">
      <c r="A83" s="19" t="s">
        <v>8</v>
      </c>
      <c r="B83" s="24">
        <v>0.343773</v>
      </c>
      <c r="C83" s="24">
        <v>0.30476599999999998</v>
      </c>
      <c r="D83" s="19" t="s">
        <v>86</v>
      </c>
      <c r="E83" s="19" t="s">
        <v>86</v>
      </c>
      <c r="F83" s="24">
        <v>0.207122</v>
      </c>
      <c r="J83" s="41" t="s">
        <v>237</v>
      </c>
      <c r="K83" s="19">
        <v>2.609</v>
      </c>
      <c r="L83" s="19">
        <v>1.0349999999999999</v>
      </c>
      <c r="M83" s="19">
        <f t="shared" si="1"/>
        <v>39.670371789957834</v>
      </c>
    </row>
    <row r="84" spans="1:17" ht="12.75" x14ac:dyDescent="0.2">
      <c r="A84" s="19" t="s">
        <v>9</v>
      </c>
      <c r="B84" s="24">
        <v>0.55017799999999994</v>
      </c>
      <c r="C84" s="24">
        <v>0.62892599999999999</v>
      </c>
      <c r="D84" s="19" t="s">
        <v>86</v>
      </c>
      <c r="E84" s="19" t="s">
        <v>86</v>
      </c>
      <c r="F84" s="24">
        <v>0.30141499999999999</v>
      </c>
      <c r="Q84" t="s">
        <v>3</v>
      </c>
    </row>
    <row r="85" spans="1:17" ht="12.75" x14ac:dyDescent="0.2">
      <c r="A85" s="19" t="s">
        <v>10</v>
      </c>
      <c r="B85" s="26">
        <v>1.47051</v>
      </c>
      <c r="C85" s="26">
        <v>1.14028</v>
      </c>
      <c r="D85" s="25">
        <v>6.7024E-2</v>
      </c>
      <c r="E85" s="25">
        <v>5.2449000000000003E-2</v>
      </c>
      <c r="F85" s="26">
        <v>1.0976999999999999</v>
      </c>
    </row>
    <row r="86" spans="1:17" ht="12.75" x14ac:dyDescent="0.2">
      <c r="A86" s="19" t="s">
        <v>11</v>
      </c>
      <c r="B86" s="26">
        <v>2.6606000000000001</v>
      </c>
      <c r="C86" s="26">
        <v>2.43512</v>
      </c>
      <c r="D86" s="24">
        <v>0.12737299999999999</v>
      </c>
      <c r="E86" s="24">
        <v>0.121825</v>
      </c>
      <c r="F86" s="26">
        <v>1.71214</v>
      </c>
    </row>
    <row r="87" spans="1:17" ht="12.75" x14ac:dyDescent="0.2">
      <c r="A87" s="19" t="s">
        <v>12</v>
      </c>
      <c r="B87" s="26">
        <v>5.6799600000000003</v>
      </c>
      <c r="C87" s="26">
        <v>4.0203100000000003</v>
      </c>
      <c r="D87" s="25">
        <v>3.7506499999999998E-2</v>
      </c>
      <c r="E87" s="25">
        <v>5.41979E-2</v>
      </c>
      <c r="F87" s="26">
        <v>1.09477</v>
      </c>
      <c r="K87" s="31" t="s">
        <v>226</v>
      </c>
      <c r="L87" s="31"/>
    </row>
    <row r="88" spans="1:17" ht="12.75" x14ac:dyDescent="0.2">
      <c r="A88" s="19" t="s">
        <v>13</v>
      </c>
      <c r="B88" s="21">
        <v>11.2098</v>
      </c>
      <c r="C88" s="26">
        <v>8.9108300000000007</v>
      </c>
      <c r="D88" s="24">
        <v>0.126223</v>
      </c>
      <c r="E88" s="24">
        <v>0.109489</v>
      </c>
      <c r="F88" s="24">
        <v>0.98091899999999999</v>
      </c>
      <c r="J88" s="41" t="s">
        <v>219</v>
      </c>
      <c r="K88" s="19" t="s">
        <v>220</v>
      </c>
      <c r="L88" s="19" t="s">
        <v>221</v>
      </c>
      <c r="M88" s="19" t="s">
        <v>222</v>
      </c>
    </row>
    <row r="89" spans="1:17" ht="12.75" x14ac:dyDescent="0.2">
      <c r="A89" s="19" t="s">
        <v>14</v>
      </c>
      <c r="B89" s="21">
        <v>21.832100000000001</v>
      </c>
      <c r="C89" s="24">
        <v>0.141206</v>
      </c>
      <c r="D89" s="24">
        <v>0.123962</v>
      </c>
      <c r="E89" s="24">
        <v>0.14241699999999999</v>
      </c>
      <c r="F89" s="24">
        <v>0.51392099999999996</v>
      </c>
      <c r="J89" s="41">
        <v>1</v>
      </c>
      <c r="K89" s="19">
        <v>4.5852199999999996E-2</v>
      </c>
      <c r="L89" s="41">
        <f>J89*K89</f>
        <v>4.5852199999999996E-2</v>
      </c>
      <c r="M89" s="19"/>
      <c r="O89" s="40"/>
    </row>
    <row r="90" spans="1:17" ht="12.75" x14ac:dyDescent="0.2">
      <c r="A90" s="19" t="s">
        <v>15</v>
      </c>
      <c r="B90" s="19"/>
      <c r="C90" s="19"/>
      <c r="D90" s="24">
        <v>0.122113</v>
      </c>
      <c r="E90" s="24">
        <v>0.10743999999999999</v>
      </c>
      <c r="F90" s="24">
        <v>0.62808399999999998</v>
      </c>
      <c r="J90" s="42" t="s">
        <v>248</v>
      </c>
      <c r="K90" s="19">
        <v>0.117856</v>
      </c>
      <c r="L90" s="41">
        <f t="shared" ref="L90:L92" si="2">J90*K90</f>
        <v>0.58928000000000003</v>
      </c>
      <c r="M90" s="19"/>
      <c r="O90" s="40"/>
    </row>
    <row r="91" spans="1:17" ht="12.75" x14ac:dyDescent="0.2">
      <c r="J91" s="42" t="s">
        <v>122</v>
      </c>
      <c r="K91" s="19">
        <v>0.13318949999999999</v>
      </c>
      <c r="L91" s="41">
        <f t="shared" si="2"/>
        <v>3.3297374999999998</v>
      </c>
      <c r="M91" s="19"/>
      <c r="O91" s="40"/>
    </row>
    <row r="92" spans="1:17" ht="12.75" x14ac:dyDescent="0.2">
      <c r="A92" s="19" t="s">
        <v>16</v>
      </c>
      <c r="B92" s="20">
        <v>1</v>
      </c>
      <c r="C92" s="20">
        <v>2</v>
      </c>
      <c r="D92" s="20">
        <v>3</v>
      </c>
      <c r="E92" s="20">
        <v>4</v>
      </c>
      <c r="F92" s="20">
        <v>5</v>
      </c>
      <c r="G92" s="1"/>
      <c r="H92" s="1"/>
      <c r="I92" s="1"/>
      <c r="J92" s="42" t="s">
        <v>249</v>
      </c>
      <c r="K92" s="19">
        <v>0.1147765</v>
      </c>
      <c r="L92" s="41">
        <f t="shared" si="2"/>
        <v>14.3470625</v>
      </c>
      <c r="M92" s="19"/>
      <c r="O92" s="40"/>
    </row>
    <row r="93" spans="1:17" ht="12.75" x14ac:dyDescent="0.2">
      <c r="A93" s="19" t="s">
        <v>8</v>
      </c>
      <c r="B93" s="43" t="s">
        <v>247</v>
      </c>
      <c r="C93" s="19" t="s">
        <v>247</v>
      </c>
      <c r="D93" s="19" t="s">
        <v>205</v>
      </c>
      <c r="E93" s="19" t="s">
        <v>205</v>
      </c>
      <c r="F93" s="19" t="s">
        <v>206</v>
      </c>
    </row>
    <row r="94" spans="1:17" ht="12.75" x14ac:dyDescent="0.2">
      <c r="A94" s="19" t="s">
        <v>9</v>
      </c>
      <c r="B94" s="43" t="s">
        <v>246</v>
      </c>
      <c r="C94" s="19" t="s">
        <v>246</v>
      </c>
      <c r="D94" s="19" t="s">
        <v>207</v>
      </c>
      <c r="E94" s="19" t="s">
        <v>207</v>
      </c>
      <c r="F94" s="19" t="s">
        <v>206</v>
      </c>
      <c r="J94" s="41"/>
      <c r="K94" s="19" t="s">
        <v>223</v>
      </c>
      <c r="L94" s="19" t="s">
        <v>224</v>
      </c>
      <c r="M94" s="19" t="s">
        <v>222</v>
      </c>
    </row>
    <row r="95" spans="1:17" ht="12.75" x14ac:dyDescent="0.2">
      <c r="A95" s="19" t="s">
        <v>10</v>
      </c>
      <c r="B95" s="43" t="s">
        <v>245</v>
      </c>
      <c r="C95" s="19" t="s">
        <v>245</v>
      </c>
      <c r="D95" s="19" t="s">
        <v>208</v>
      </c>
      <c r="E95" s="19" t="s">
        <v>208</v>
      </c>
      <c r="F95" s="19" t="s">
        <v>209</v>
      </c>
      <c r="J95" s="41" t="s">
        <v>238</v>
      </c>
      <c r="K95" s="19">
        <v>2.5401206749999998</v>
      </c>
      <c r="L95" s="19">
        <v>0.141206</v>
      </c>
      <c r="M95" s="19">
        <f>(L95/K95)*100</f>
        <v>5.5590272300744141</v>
      </c>
    </row>
    <row r="96" spans="1:17" ht="12.75" x14ac:dyDescent="0.2">
      <c r="A96" s="19" t="s">
        <v>11</v>
      </c>
      <c r="B96" s="43" t="s">
        <v>244</v>
      </c>
      <c r="C96" s="19" t="s">
        <v>244</v>
      </c>
      <c r="D96" s="19" t="s">
        <v>210</v>
      </c>
      <c r="E96" s="19" t="s">
        <v>210</v>
      </c>
      <c r="F96" s="19" t="s">
        <v>209</v>
      </c>
      <c r="J96" s="41" t="s">
        <v>239</v>
      </c>
      <c r="K96" s="19">
        <v>2.6165408124999998</v>
      </c>
      <c r="L96" s="19">
        <v>0.51392099999999996</v>
      </c>
      <c r="M96" s="19">
        <f t="shared" ref="M96:M97" si="3">(L96/K96)*100</f>
        <v>19.641237680866482</v>
      </c>
    </row>
    <row r="97" spans="1:13" ht="12.75" x14ac:dyDescent="0.2">
      <c r="A97" s="19" t="s">
        <v>12</v>
      </c>
      <c r="B97" s="43" t="s">
        <v>243</v>
      </c>
      <c r="C97" s="19" t="s">
        <v>243</v>
      </c>
      <c r="D97" s="19" t="s">
        <v>211</v>
      </c>
      <c r="E97" s="19" t="s">
        <v>211</v>
      </c>
      <c r="F97" s="19" t="s">
        <v>212</v>
      </c>
      <c r="J97" s="41" t="s">
        <v>240</v>
      </c>
      <c r="K97" s="19">
        <v>2.6004294374999999</v>
      </c>
      <c r="L97" s="19">
        <v>0.62808399999999998</v>
      </c>
      <c r="M97" s="19">
        <f t="shared" si="3"/>
        <v>24.153087599401552</v>
      </c>
    </row>
    <row r="98" spans="1:13" ht="12.75" x14ac:dyDescent="0.2">
      <c r="A98" s="19" t="s">
        <v>13</v>
      </c>
      <c r="B98" s="43" t="s">
        <v>242</v>
      </c>
      <c r="C98" s="19" t="s">
        <v>242</v>
      </c>
      <c r="D98" s="19" t="s">
        <v>213</v>
      </c>
      <c r="E98" s="19" t="s">
        <v>213</v>
      </c>
      <c r="F98" s="19" t="s">
        <v>212</v>
      </c>
    </row>
    <row r="99" spans="1:13" ht="12.75" x14ac:dyDescent="0.2">
      <c r="A99" s="19" t="s">
        <v>14</v>
      </c>
      <c r="B99" s="43" t="s">
        <v>241</v>
      </c>
      <c r="C99" s="19" t="s">
        <v>214</v>
      </c>
      <c r="D99" s="19" t="s">
        <v>215</v>
      </c>
      <c r="E99" s="19" t="s">
        <v>215</v>
      </c>
      <c r="F99" s="19" t="s">
        <v>227</v>
      </c>
    </row>
    <row r="100" spans="1:13" ht="12.75" x14ac:dyDescent="0.2">
      <c r="A100" s="19" t="s">
        <v>15</v>
      </c>
      <c r="B100" s="19" t="s">
        <v>45</v>
      </c>
      <c r="C100" s="19" t="s">
        <v>45</v>
      </c>
      <c r="D100" s="19" t="s">
        <v>216</v>
      </c>
      <c r="E100" s="19" t="s">
        <v>216</v>
      </c>
      <c r="F100" s="19" t="s">
        <v>228</v>
      </c>
    </row>
    <row r="102" spans="1:13" ht="12.75" x14ac:dyDescent="0.2">
      <c r="A102" t="s">
        <v>87</v>
      </c>
      <c r="D102" s="22" t="s">
        <v>217</v>
      </c>
      <c r="E102" s="22"/>
    </row>
    <row r="103" spans="1:13" ht="15" customHeight="1" x14ac:dyDescent="0.2">
      <c r="C103" s="36"/>
      <c r="D103" s="37" t="s">
        <v>218</v>
      </c>
      <c r="E103" s="37"/>
      <c r="F103" s="36"/>
      <c r="G103" s="36"/>
    </row>
    <row r="104" spans="1:13" ht="15" customHeight="1" x14ac:dyDescent="0.2">
      <c r="C104" s="36"/>
      <c r="D104" s="38"/>
      <c r="E104" s="38"/>
      <c r="F104" s="38"/>
      <c r="G104" s="38"/>
    </row>
    <row r="105" spans="1:13" ht="15" customHeight="1" x14ac:dyDescent="0.2">
      <c r="C105" s="36"/>
      <c r="D105" s="36"/>
      <c r="E105" s="36"/>
      <c r="F105" s="36"/>
      <c r="G105" s="36"/>
    </row>
  </sheetData>
  <mergeCells count="3">
    <mergeCell ref="K73:L73"/>
    <mergeCell ref="K87:L87"/>
    <mergeCell ref="O78:R7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93</v>
      </c>
    </row>
    <row r="3" spans="1:5" ht="15" customHeight="1" x14ac:dyDescent="0.2">
      <c r="B3" t="s">
        <v>94</v>
      </c>
      <c r="E3" t="s">
        <v>95</v>
      </c>
    </row>
    <row r="4" spans="1:5" ht="15" customHeight="1" x14ac:dyDescent="0.2">
      <c r="B4" t="s">
        <v>96</v>
      </c>
      <c r="E4" t="s">
        <v>97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98</v>
      </c>
    </row>
    <row r="3" spans="1:5" ht="15" customHeight="1" x14ac:dyDescent="0.2">
      <c r="B3" t="s">
        <v>99</v>
      </c>
      <c r="E3" t="s">
        <v>1</v>
      </c>
    </row>
    <row r="4" spans="1:5" ht="15" customHeight="1" x14ac:dyDescent="0.2">
      <c r="B4" t="s">
        <v>100</v>
      </c>
      <c r="E4" t="s">
        <v>101</v>
      </c>
    </row>
    <row r="5" spans="1:5" ht="15" customHeight="1" x14ac:dyDescent="0.2">
      <c r="B5" t="s">
        <v>102</v>
      </c>
      <c r="E5" t="s">
        <v>103</v>
      </c>
    </row>
    <row r="6" spans="1:5" ht="15" customHeight="1" x14ac:dyDescent="0.2">
      <c r="B6" t="s">
        <v>104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105</v>
      </c>
    </row>
    <row r="3" spans="1:5" ht="15" customHeight="1" x14ac:dyDescent="0.2">
      <c r="B3" t="s">
        <v>106</v>
      </c>
      <c r="E3" t="s">
        <v>107</v>
      </c>
    </row>
    <row r="4" spans="1:5" ht="15" customHeight="1" x14ac:dyDescent="0.2">
      <c r="B4" t="s">
        <v>108</v>
      </c>
      <c r="E4" t="s">
        <v>109</v>
      </c>
    </row>
    <row r="5" spans="1:5" ht="15" customHeight="1" x14ac:dyDescent="0.2">
      <c r="B5" t="s">
        <v>110</v>
      </c>
      <c r="E5" t="s">
        <v>111</v>
      </c>
    </row>
    <row r="6" spans="1:5" ht="15" customHeight="1" x14ac:dyDescent="0.2">
      <c r="B6" t="s">
        <v>112</v>
      </c>
      <c r="E6" t="s">
        <v>113</v>
      </c>
    </row>
    <row r="8" spans="1:5" ht="15" customHeight="1" x14ac:dyDescent="0.2">
      <c r="B8" t="s">
        <v>114</v>
      </c>
    </row>
    <row r="10" spans="1:5" ht="15" customHeight="1" x14ac:dyDescent="0.2">
      <c r="B10" t="s">
        <v>115</v>
      </c>
    </row>
    <row r="11" spans="1:5" ht="15" customHeight="1" x14ac:dyDescent="0.2">
      <c r="C11" t="s">
        <v>116</v>
      </c>
      <c r="E11" t="s">
        <v>117</v>
      </c>
    </row>
    <row r="12" spans="1:5" ht="15" customHeight="1" x14ac:dyDescent="0.2">
      <c r="C12" t="s">
        <v>106</v>
      </c>
      <c r="E12" t="s">
        <v>118</v>
      </c>
    </row>
    <row r="13" spans="1:5" ht="15" customHeight="1" x14ac:dyDescent="0.2">
      <c r="C13" t="s">
        <v>119</v>
      </c>
      <c r="E13" t="s">
        <v>120</v>
      </c>
    </row>
    <row r="14" spans="1:5" ht="15" customHeight="1" x14ac:dyDescent="0.2">
      <c r="C14" t="s">
        <v>121</v>
      </c>
      <c r="E14" t="s">
        <v>122</v>
      </c>
    </row>
    <row r="15" spans="1:5" ht="15" customHeight="1" x14ac:dyDescent="0.2">
      <c r="C15" t="s">
        <v>123</v>
      </c>
      <c r="E15" t="s">
        <v>124</v>
      </c>
    </row>
    <row r="16" spans="1:5" ht="15" customHeight="1" x14ac:dyDescent="0.2">
      <c r="C16" t="s">
        <v>125</v>
      </c>
      <c r="E16" t="s">
        <v>126</v>
      </c>
    </row>
    <row r="18" spans="2:5" ht="15" customHeight="1" x14ac:dyDescent="0.2">
      <c r="B18" t="s">
        <v>115</v>
      </c>
    </row>
    <row r="19" spans="2:5" ht="15" customHeight="1" x14ac:dyDescent="0.2">
      <c r="C19" t="s">
        <v>116</v>
      </c>
      <c r="E19" t="s">
        <v>127</v>
      </c>
    </row>
    <row r="20" spans="2:5" ht="15" customHeight="1" x14ac:dyDescent="0.2">
      <c r="C20" t="s">
        <v>106</v>
      </c>
      <c r="E20" t="s">
        <v>128</v>
      </c>
    </row>
    <row r="21" spans="2:5" ht="15" customHeight="1" x14ac:dyDescent="0.2">
      <c r="C21" t="s">
        <v>119</v>
      </c>
      <c r="E21" t="s">
        <v>129</v>
      </c>
    </row>
    <row r="22" spans="2:5" ht="15" customHeight="1" x14ac:dyDescent="0.2">
      <c r="C22" t="s">
        <v>121</v>
      </c>
      <c r="E22" t="s">
        <v>130</v>
      </c>
    </row>
    <row r="23" spans="2:5" ht="15" customHeight="1" x14ac:dyDescent="0.2">
      <c r="C23" t="s">
        <v>123</v>
      </c>
      <c r="E23" t="s">
        <v>124</v>
      </c>
    </row>
    <row r="24" spans="2:5" ht="15" customHeight="1" x14ac:dyDescent="0.2">
      <c r="C24" t="s">
        <v>125</v>
      </c>
      <c r="E24" t="s">
        <v>126</v>
      </c>
    </row>
    <row r="26" spans="2:5" ht="15" customHeight="1" x14ac:dyDescent="0.2">
      <c r="B26" t="s">
        <v>115</v>
      </c>
    </row>
    <row r="27" spans="2:5" ht="15" customHeight="1" x14ac:dyDescent="0.2">
      <c r="C27" t="s">
        <v>116</v>
      </c>
      <c r="E27" t="s">
        <v>131</v>
      </c>
    </row>
    <row r="28" spans="2:5" ht="15" customHeight="1" x14ac:dyDescent="0.2">
      <c r="C28" t="s">
        <v>106</v>
      </c>
      <c r="E28" t="s">
        <v>132</v>
      </c>
    </row>
    <row r="29" spans="2:5" ht="15" customHeight="1" x14ac:dyDescent="0.2">
      <c r="C29" t="s">
        <v>119</v>
      </c>
      <c r="E29" t="s">
        <v>133</v>
      </c>
    </row>
    <row r="30" spans="2:5" ht="15" customHeight="1" x14ac:dyDescent="0.2">
      <c r="C30" t="s">
        <v>121</v>
      </c>
      <c r="E30" t="s">
        <v>130</v>
      </c>
    </row>
    <row r="31" spans="2:5" ht="15" customHeight="1" x14ac:dyDescent="0.2">
      <c r="C31" t="s">
        <v>123</v>
      </c>
      <c r="E31" t="s">
        <v>124</v>
      </c>
    </row>
    <row r="32" spans="2:5" ht="15" customHeight="1" x14ac:dyDescent="0.2">
      <c r="C32" t="s">
        <v>125</v>
      </c>
      <c r="E32" t="s">
        <v>126</v>
      </c>
    </row>
    <row r="34" spans="2:5" ht="15" customHeight="1" x14ac:dyDescent="0.2">
      <c r="B34" t="s">
        <v>134</v>
      </c>
    </row>
    <row r="35" spans="2:5" ht="15" customHeight="1" x14ac:dyDescent="0.2">
      <c r="C35" t="s">
        <v>135</v>
      </c>
      <c r="E35" t="s">
        <v>136</v>
      </c>
    </row>
    <row r="36" spans="2:5" ht="15" customHeight="1" x14ac:dyDescent="0.2">
      <c r="C36" t="s">
        <v>106</v>
      </c>
      <c r="E36" t="s">
        <v>137</v>
      </c>
    </row>
    <row r="37" spans="2:5" ht="15" customHeight="1" x14ac:dyDescent="0.2">
      <c r="C37" t="s">
        <v>138</v>
      </c>
      <c r="E37" t="s">
        <v>139</v>
      </c>
    </row>
    <row r="38" spans="2:5" ht="15" customHeight="1" x14ac:dyDescent="0.2">
      <c r="C38" t="s">
        <v>121</v>
      </c>
      <c r="E38" t="s">
        <v>140</v>
      </c>
    </row>
    <row r="39" spans="2:5" ht="12.75" x14ac:dyDescent="0.2">
      <c r="C39" t="s">
        <v>123</v>
      </c>
      <c r="E39" t="s">
        <v>124</v>
      </c>
    </row>
    <row r="40" spans="2:5" ht="12.75" x14ac:dyDescent="0.2">
      <c r="C40" t="s">
        <v>125</v>
      </c>
      <c r="E40" t="s">
        <v>126</v>
      </c>
    </row>
    <row r="41" spans="2:5" ht="12.75" x14ac:dyDescent="0.2"/>
    <row r="42" spans="2:5" ht="12.75" x14ac:dyDescent="0.2">
      <c r="B42" t="s">
        <v>134</v>
      </c>
    </row>
    <row r="43" spans="2:5" ht="12.75" x14ac:dyDescent="0.2">
      <c r="C43" t="s">
        <v>135</v>
      </c>
      <c r="E43" t="s">
        <v>141</v>
      </c>
    </row>
    <row r="44" spans="2:5" ht="12.75" x14ac:dyDescent="0.2">
      <c r="C44" t="s">
        <v>106</v>
      </c>
      <c r="E44" t="s">
        <v>142</v>
      </c>
    </row>
    <row r="45" spans="2:5" ht="12.75" x14ac:dyDescent="0.2">
      <c r="C45" t="s">
        <v>138</v>
      </c>
      <c r="E45" t="s">
        <v>143</v>
      </c>
    </row>
    <row r="46" spans="2:5" ht="12.75" x14ac:dyDescent="0.2">
      <c r="C46" t="s">
        <v>121</v>
      </c>
      <c r="E46" t="s">
        <v>130</v>
      </c>
    </row>
    <row r="47" spans="2:5" ht="12.75" x14ac:dyDescent="0.2">
      <c r="C47" t="s">
        <v>123</v>
      </c>
      <c r="E47" t="s">
        <v>124</v>
      </c>
    </row>
    <row r="48" spans="2:5" ht="12.75" x14ac:dyDescent="0.2">
      <c r="C48" t="s">
        <v>125</v>
      </c>
      <c r="E48" t="s">
        <v>126</v>
      </c>
    </row>
    <row r="49" spans="2:5" ht="12.75" x14ac:dyDescent="0.2"/>
    <row r="50" spans="2:5" ht="12.75" x14ac:dyDescent="0.2">
      <c r="B50" t="s">
        <v>134</v>
      </c>
    </row>
    <row r="51" spans="2:5" ht="12.75" x14ac:dyDescent="0.2">
      <c r="C51" t="s">
        <v>135</v>
      </c>
      <c r="E51" t="s">
        <v>144</v>
      </c>
    </row>
    <row r="52" spans="2:5" ht="12.75" x14ac:dyDescent="0.2">
      <c r="C52" t="s">
        <v>106</v>
      </c>
      <c r="E52" t="s">
        <v>145</v>
      </c>
    </row>
    <row r="53" spans="2:5" ht="12.75" x14ac:dyDescent="0.2">
      <c r="C53" t="s">
        <v>138</v>
      </c>
      <c r="E53" t="s">
        <v>146</v>
      </c>
    </row>
    <row r="54" spans="2:5" ht="12.75" x14ac:dyDescent="0.2">
      <c r="C54" t="s">
        <v>121</v>
      </c>
      <c r="E54" t="s">
        <v>147</v>
      </c>
    </row>
    <row r="55" spans="2:5" ht="12.75" x14ac:dyDescent="0.2">
      <c r="C55" t="s">
        <v>123</v>
      </c>
      <c r="E55" t="s">
        <v>124</v>
      </c>
    </row>
    <row r="56" spans="2:5" ht="12.75" x14ac:dyDescent="0.2">
      <c r="C56" t="s">
        <v>125</v>
      </c>
      <c r="E56" t="s">
        <v>126</v>
      </c>
    </row>
    <row r="57" spans="2:5" ht="12.75" x14ac:dyDescent="0.2"/>
    <row r="58" spans="2:5" ht="12.75" x14ac:dyDescent="0.2">
      <c r="B58" t="s">
        <v>148</v>
      </c>
    </row>
    <row r="59" spans="2:5" ht="12.75" x14ac:dyDescent="0.2">
      <c r="C59" t="s">
        <v>106</v>
      </c>
      <c r="E59" t="s">
        <v>149</v>
      </c>
    </row>
    <row r="60" spans="2:5" ht="12.75" x14ac:dyDescent="0.2">
      <c r="C60" t="s">
        <v>116</v>
      </c>
      <c r="E60" t="s">
        <v>117</v>
      </c>
    </row>
    <row r="61" spans="2:5" ht="12.75" x14ac:dyDescent="0.2">
      <c r="C61" t="s">
        <v>106</v>
      </c>
      <c r="E61" t="s">
        <v>118</v>
      </c>
    </row>
    <row r="62" spans="2:5" ht="12.75" x14ac:dyDescent="0.2">
      <c r="C62" t="s">
        <v>119</v>
      </c>
      <c r="E62" t="s">
        <v>120</v>
      </c>
    </row>
    <row r="63" spans="2:5" ht="12.75" x14ac:dyDescent="0.2">
      <c r="C63" t="s">
        <v>135</v>
      </c>
      <c r="E63" t="s">
        <v>136</v>
      </c>
    </row>
    <row r="64" spans="2:5" ht="12.75" x14ac:dyDescent="0.2">
      <c r="C64" t="s">
        <v>106</v>
      </c>
      <c r="E64" t="s">
        <v>137</v>
      </c>
    </row>
    <row r="65" spans="2:5" ht="12.75" x14ac:dyDescent="0.2">
      <c r="C65" t="s">
        <v>138</v>
      </c>
      <c r="E65" t="s">
        <v>139</v>
      </c>
    </row>
    <row r="66" spans="2:5" ht="12.75" x14ac:dyDescent="0.2">
      <c r="C66" t="s">
        <v>123</v>
      </c>
      <c r="E66" t="s">
        <v>124</v>
      </c>
    </row>
    <row r="67" spans="2:5" ht="12.75" x14ac:dyDescent="0.2">
      <c r="C67" t="s">
        <v>150</v>
      </c>
      <c r="E67" t="s">
        <v>151</v>
      </c>
    </row>
    <row r="68" spans="2:5" ht="12.75" x14ac:dyDescent="0.2"/>
    <row r="69" spans="2:5" ht="12.75" x14ac:dyDescent="0.2">
      <c r="B69" t="s">
        <v>148</v>
      </c>
    </row>
    <row r="70" spans="2:5" ht="12.75" x14ac:dyDescent="0.2">
      <c r="C70" t="s">
        <v>106</v>
      </c>
      <c r="E70" t="s">
        <v>152</v>
      </c>
    </row>
    <row r="71" spans="2:5" ht="12.75" x14ac:dyDescent="0.2">
      <c r="C71" t="s">
        <v>116</v>
      </c>
      <c r="E71" t="s">
        <v>127</v>
      </c>
    </row>
    <row r="72" spans="2:5" ht="12.75" x14ac:dyDescent="0.2">
      <c r="C72" t="s">
        <v>106</v>
      </c>
      <c r="E72" t="s">
        <v>128</v>
      </c>
    </row>
    <row r="73" spans="2:5" ht="12.75" x14ac:dyDescent="0.2">
      <c r="C73" t="s">
        <v>119</v>
      </c>
      <c r="E73" t="s">
        <v>129</v>
      </c>
    </row>
    <row r="74" spans="2:5" ht="12.75" x14ac:dyDescent="0.2">
      <c r="C74" t="s">
        <v>135</v>
      </c>
      <c r="E74" t="s">
        <v>141</v>
      </c>
    </row>
    <row r="75" spans="2:5" ht="12.75" x14ac:dyDescent="0.2">
      <c r="C75" t="s">
        <v>106</v>
      </c>
      <c r="E75" t="s">
        <v>142</v>
      </c>
    </row>
    <row r="76" spans="2:5" ht="12.75" x14ac:dyDescent="0.2">
      <c r="C76" t="s">
        <v>138</v>
      </c>
      <c r="E76" t="s">
        <v>143</v>
      </c>
    </row>
    <row r="77" spans="2:5" ht="12.75" x14ac:dyDescent="0.2">
      <c r="C77" t="s">
        <v>123</v>
      </c>
      <c r="E77" t="s">
        <v>124</v>
      </c>
    </row>
    <row r="78" spans="2:5" ht="12.75" x14ac:dyDescent="0.2">
      <c r="C78" t="s">
        <v>150</v>
      </c>
      <c r="E78" t="s">
        <v>151</v>
      </c>
    </row>
    <row r="79" spans="2:5" ht="12.75" x14ac:dyDescent="0.2"/>
    <row r="80" spans="2:5" ht="12.75" x14ac:dyDescent="0.2">
      <c r="B80" t="s">
        <v>148</v>
      </c>
    </row>
    <row r="81" spans="3:5" ht="12.75" x14ac:dyDescent="0.2">
      <c r="C81" t="s">
        <v>106</v>
      </c>
      <c r="E81" t="s">
        <v>153</v>
      </c>
    </row>
    <row r="82" spans="3:5" ht="12.75" x14ac:dyDescent="0.2">
      <c r="C82" t="s">
        <v>116</v>
      </c>
      <c r="E82" t="s">
        <v>131</v>
      </c>
    </row>
    <row r="83" spans="3:5" ht="12.75" x14ac:dyDescent="0.2">
      <c r="C83" t="s">
        <v>106</v>
      </c>
      <c r="E83" t="s">
        <v>132</v>
      </c>
    </row>
    <row r="84" spans="3:5" ht="12.75" x14ac:dyDescent="0.2">
      <c r="C84" t="s">
        <v>119</v>
      </c>
      <c r="E84" t="s">
        <v>133</v>
      </c>
    </row>
    <row r="85" spans="3:5" ht="12.75" x14ac:dyDescent="0.2">
      <c r="C85" t="s">
        <v>135</v>
      </c>
      <c r="E85" t="s">
        <v>144</v>
      </c>
    </row>
    <row r="86" spans="3:5" ht="12.75" x14ac:dyDescent="0.2">
      <c r="C86" t="s">
        <v>106</v>
      </c>
      <c r="E86" t="s">
        <v>145</v>
      </c>
    </row>
    <row r="87" spans="3:5" ht="12.75" x14ac:dyDescent="0.2">
      <c r="C87" t="s">
        <v>138</v>
      </c>
      <c r="E87" t="s">
        <v>146</v>
      </c>
    </row>
    <row r="88" spans="3:5" ht="12.75" x14ac:dyDescent="0.2">
      <c r="C88" t="s">
        <v>123</v>
      </c>
      <c r="E88" t="s">
        <v>124</v>
      </c>
    </row>
    <row r="89" spans="3:5" ht="12.75" x14ac:dyDescent="0.2">
      <c r="C89" t="s">
        <v>150</v>
      </c>
      <c r="E89" t="s">
        <v>151</v>
      </c>
    </row>
    <row r="90" spans="3:5" ht="12.75" x14ac:dyDescent="0.2"/>
    <row r="91" spans="3:5" ht="12.75" x14ac:dyDescent="0.2">
      <c r="C91" t="s">
        <v>154</v>
      </c>
      <c r="E91" t="s">
        <v>124</v>
      </c>
    </row>
    <row r="92" spans="3:5" ht="12.75" x14ac:dyDescent="0.2">
      <c r="C92" t="s">
        <v>155</v>
      </c>
      <c r="E92" t="s">
        <v>156</v>
      </c>
    </row>
    <row r="93" spans="3:5" ht="12.75" x14ac:dyDescent="0.2">
      <c r="C93" t="s">
        <v>157</v>
      </c>
      <c r="E93" t="s">
        <v>124</v>
      </c>
    </row>
    <row r="94" spans="3:5" ht="12.75" x14ac:dyDescent="0.2">
      <c r="C94" t="s">
        <v>158</v>
      </c>
      <c r="E94" t="s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159</v>
      </c>
    </row>
    <row r="3" spans="1:5" ht="15" customHeight="1" x14ac:dyDescent="0.2">
      <c r="B3" t="s">
        <v>160</v>
      </c>
      <c r="E3" t="s">
        <v>151</v>
      </c>
    </row>
    <row r="4" spans="1:5" ht="15" customHeight="1" x14ac:dyDescent="0.2">
      <c r="B4" t="s">
        <v>161</v>
      </c>
      <c r="E4" t="s">
        <v>156</v>
      </c>
    </row>
    <row r="5" spans="1:5" ht="15" customHeight="1" x14ac:dyDescent="0.2">
      <c r="B5" t="s">
        <v>162</v>
      </c>
      <c r="E5" t="s">
        <v>156</v>
      </c>
    </row>
    <row r="7" spans="1:5" ht="15" customHeight="1" x14ac:dyDescent="0.2">
      <c r="A7" t="s">
        <v>163</v>
      </c>
    </row>
    <row r="9" spans="1:5" ht="15" customHeight="1" x14ac:dyDescent="0.2">
      <c r="B9" t="s">
        <v>164</v>
      </c>
      <c r="E9" t="s">
        <v>165</v>
      </c>
    </row>
    <row r="10" spans="1:5" ht="15" customHeight="1" x14ac:dyDescent="0.2">
      <c r="B10" t="s">
        <v>166</v>
      </c>
      <c r="E10" t="s">
        <v>167</v>
      </c>
    </row>
    <row r="11" spans="1:5" ht="15" customHeight="1" x14ac:dyDescent="0.2">
      <c r="B11" t="s">
        <v>168</v>
      </c>
      <c r="E11" t="s">
        <v>169</v>
      </c>
    </row>
    <row r="12" spans="1:5" ht="15" customHeight="1" x14ac:dyDescent="0.2">
      <c r="B12" t="s">
        <v>170</v>
      </c>
      <c r="E12" t="s">
        <v>171</v>
      </c>
    </row>
    <row r="14" spans="1:5" ht="15" customHeight="1" x14ac:dyDescent="0.2">
      <c r="A14" t="s">
        <v>4</v>
      </c>
    </row>
    <row r="16" spans="1:5" ht="15" customHeight="1" x14ac:dyDescent="0.2">
      <c r="B16" t="s">
        <v>172</v>
      </c>
      <c r="E16" t="s">
        <v>139</v>
      </c>
    </row>
    <row r="17" spans="2:5" ht="15" customHeight="1" x14ac:dyDescent="0.2">
      <c r="B17" t="s">
        <v>173</v>
      </c>
      <c r="E17" t="s">
        <v>156</v>
      </c>
    </row>
    <row r="18" spans="2:5" ht="15" customHeight="1" x14ac:dyDescent="0.2">
      <c r="B18" t="s">
        <v>174</v>
      </c>
      <c r="E18" t="s">
        <v>175</v>
      </c>
    </row>
    <row r="19" spans="2:5" ht="15" customHeight="1" x14ac:dyDescent="0.2">
      <c r="B19" t="s">
        <v>176</v>
      </c>
      <c r="E19" t="s">
        <v>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2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62.5703125" customWidth="1"/>
    <col min="4" max="4" width="11.85546875" customWidth="1"/>
  </cols>
  <sheetData>
    <row r="1" spans="1:5" ht="15" customHeight="1" x14ac:dyDescent="0.2">
      <c r="A1" t="s">
        <v>177</v>
      </c>
    </row>
    <row r="3" spans="1:5" ht="15" customHeight="1" x14ac:dyDescent="0.2">
      <c r="B3" s="8" t="s">
        <v>178</v>
      </c>
      <c r="C3" s="8" t="s">
        <v>179</v>
      </c>
      <c r="D3" s="8" t="s">
        <v>180</v>
      </c>
      <c r="E3" s="8"/>
    </row>
    <row r="4" spans="1:5" ht="15" customHeight="1" x14ac:dyDescent="0.2">
      <c r="B4" t="s">
        <v>2</v>
      </c>
      <c r="C4" t="s">
        <v>181</v>
      </c>
    </row>
    <row r="5" spans="1:5" ht="15" customHeight="1" x14ac:dyDescent="0.2">
      <c r="B5" t="s">
        <v>182</v>
      </c>
      <c r="C5" t="s">
        <v>183</v>
      </c>
      <c r="D5" t="s">
        <v>184</v>
      </c>
    </row>
    <row r="6" spans="1:5" ht="15" customHeight="1" x14ac:dyDescent="0.2">
      <c r="B6" t="s">
        <v>182</v>
      </c>
      <c r="C6" t="s">
        <v>185</v>
      </c>
    </row>
    <row r="7" spans="1:5" ht="15" customHeight="1" x14ac:dyDescent="0.2">
      <c r="B7" t="s">
        <v>186</v>
      </c>
      <c r="C7" t="s">
        <v>187</v>
      </c>
    </row>
    <row r="8" spans="1:5" ht="15" customHeight="1" x14ac:dyDescent="0.2">
      <c r="B8" t="s">
        <v>186</v>
      </c>
      <c r="C8" t="s">
        <v>188</v>
      </c>
    </row>
    <row r="9" spans="1:5" ht="15" customHeight="1" x14ac:dyDescent="0.2">
      <c r="B9" t="s">
        <v>189</v>
      </c>
      <c r="C9" t="s">
        <v>190</v>
      </c>
    </row>
    <row r="10" spans="1:5" ht="15" customHeight="1" x14ac:dyDescent="0.2">
      <c r="B10" t="s">
        <v>189</v>
      </c>
      <c r="C10" t="s">
        <v>183</v>
      </c>
      <c r="D10" t="s">
        <v>191</v>
      </c>
    </row>
    <row r="11" spans="1:5" ht="15" customHeight="1" x14ac:dyDescent="0.2">
      <c r="B11" t="s">
        <v>192</v>
      </c>
      <c r="C11" t="s">
        <v>193</v>
      </c>
    </row>
    <row r="12" spans="1:5" ht="15" customHeight="1" x14ac:dyDescent="0.2">
      <c r="A12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106</v>
      </c>
      <c r="B1" t="s">
        <v>6</v>
      </c>
    </row>
    <row r="2" spans="1:13" ht="15" customHeight="1" x14ac:dyDescent="0.2">
      <c r="A2" t="s">
        <v>194</v>
      </c>
      <c r="B2" t="s">
        <v>195</v>
      </c>
    </row>
    <row r="4" spans="1:13" ht="15" customHeight="1" x14ac:dyDescent="0.2"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  <c r="L4" s="9">
        <v>11</v>
      </c>
      <c r="M4" s="9">
        <v>12</v>
      </c>
    </row>
    <row r="5" spans="1:13" ht="15" customHeight="1" x14ac:dyDescent="0.2">
      <c r="A5" s="30" t="s">
        <v>8</v>
      </c>
      <c r="B5" s="10" t="s">
        <v>17</v>
      </c>
      <c r="C5" s="10" t="s">
        <v>17</v>
      </c>
      <c r="D5" s="11" t="s">
        <v>18</v>
      </c>
      <c r="E5" s="11" t="s">
        <v>19</v>
      </c>
      <c r="F5" s="11" t="s">
        <v>20</v>
      </c>
      <c r="G5" s="29"/>
      <c r="H5" s="29"/>
      <c r="I5" s="29"/>
      <c r="J5" s="29"/>
      <c r="K5" s="29"/>
      <c r="L5" s="29"/>
      <c r="M5" s="29"/>
    </row>
    <row r="6" spans="1:13" ht="15" customHeight="1" x14ac:dyDescent="0.2">
      <c r="A6" s="29"/>
      <c r="B6" s="12" t="s">
        <v>196</v>
      </c>
      <c r="C6" s="12" t="s">
        <v>196</v>
      </c>
      <c r="D6" s="13" t="s">
        <v>196</v>
      </c>
      <c r="E6" s="13" t="s">
        <v>196</v>
      </c>
      <c r="F6" s="13" t="s">
        <v>196</v>
      </c>
      <c r="G6" s="29"/>
      <c r="H6" s="29"/>
      <c r="I6" s="29"/>
      <c r="J6" s="29"/>
      <c r="K6" s="29"/>
      <c r="L6" s="29"/>
      <c r="M6" s="29"/>
    </row>
    <row r="7" spans="1:13" ht="15" customHeight="1" x14ac:dyDescent="0.2">
      <c r="A7" s="29"/>
      <c r="B7" s="14" t="s">
        <v>197</v>
      </c>
      <c r="C7" s="14" t="s">
        <v>197</v>
      </c>
      <c r="D7" s="15" t="s">
        <v>198</v>
      </c>
      <c r="E7" s="15" t="s">
        <v>198</v>
      </c>
      <c r="F7" s="15" t="s">
        <v>198</v>
      </c>
      <c r="G7" s="29"/>
      <c r="H7" s="29"/>
      <c r="I7" s="29"/>
      <c r="J7" s="29"/>
      <c r="K7" s="29"/>
      <c r="L7" s="29"/>
      <c r="M7" s="29"/>
    </row>
    <row r="8" spans="1:13" ht="15" customHeight="1" x14ac:dyDescent="0.2">
      <c r="A8" s="30" t="s">
        <v>9</v>
      </c>
      <c r="B8" s="10" t="s">
        <v>21</v>
      </c>
      <c r="C8" s="10" t="s">
        <v>21</v>
      </c>
      <c r="D8" s="11" t="s">
        <v>22</v>
      </c>
      <c r="E8" s="11" t="s">
        <v>23</v>
      </c>
      <c r="F8" s="11" t="s">
        <v>24</v>
      </c>
      <c r="G8" s="29"/>
      <c r="H8" s="29"/>
      <c r="I8" s="29"/>
      <c r="J8" s="29"/>
      <c r="K8" s="29"/>
      <c r="L8" s="29"/>
      <c r="M8" s="29"/>
    </row>
    <row r="9" spans="1:13" ht="15" customHeight="1" x14ac:dyDescent="0.2">
      <c r="A9" s="29"/>
      <c r="B9" s="12" t="s">
        <v>196</v>
      </c>
      <c r="C9" s="12" t="s">
        <v>196</v>
      </c>
      <c r="D9" s="13" t="s">
        <v>196</v>
      </c>
      <c r="E9" s="13" t="s">
        <v>196</v>
      </c>
      <c r="F9" s="13" t="s">
        <v>196</v>
      </c>
      <c r="G9" s="29"/>
      <c r="H9" s="29"/>
      <c r="I9" s="29"/>
      <c r="J9" s="29"/>
      <c r="K9" s="29"/>
      <c r="L9" s="29"/>
      <c r="M9" s="29"/>
    </row>
    <row r="10" spans="1:13" ht="15" customHeight="1" x14ac:dyDescent="0.2">
      <c r="A10" s="29"/>
      <c r="B10" s="14" t="s">
        <v>199</v>
      </c>
      <c r="C10" s="14" t="s">
        <v>199</v>
      </c>
      <c r="D10" s="15" t="s">
        <v>198</v>
      </c>
      <c r="E10" s="15" t="s">
        <v>198</v>
      </c>
      <c r="F10" s="15" t="s">
        <v>198</v>
      </c>
      <c r="G10" s="29"/>
      <c r="H10" s="29"/>
      <c r="I10" s="29"/>
      <c r="J10" s="29"/>
      <c r="K10" s="29"/>
      <c r="L10" s="29"/>
      <c r="M10" s="29"/>
    </row>
    <row r="11" spans="1:13" ht="15" customHeight="1" x14ac:dyDescent="0.2">
      <c r="A11" s="30" t="s">
        <v>10</v>
      </c>
      <c r="B11" s="10" t="s">
        <v>25</v>
      </c>
      <c r="C11" s="10" t="s">
        <v>25</v>
      </c>
      <c r="D11" s="11" t="s">
        <v>26</v>
      </c>
      <c r="E11" s="11" t="s">
        <v>27</v>
      </c>
      <c r="F11" s="11" t="s">
        <v>28</v>
      </c>
      <c r="G11" s="29"/>
      <c r="H11" s="29"/>
      <c r="I11" s="29"/>
      <c r="J11" s="29"/>
      <c r="K11" s="29"/>
      <c r="L11" s="29"/>
      <c r="M11" s="29"/>
    </row>
    <row r="12" spans="1:13" ht="15" customHeight="1" x14ac:dyDescent="0.2">
      <c r="A12" s="29"/>
      <c r="B12" s="12" t="s">
        <v>196</v>
      </c>
      <c r="C12" s="12" t="s">
        <v>196</v>
      </c>
      <c r="D12" s="13" t="s">
        <v>196</v>
      </c>
      <c r="E12" s="13" t="s">
        <v>196</v>
      </c>
      <c r="F12" s="13" t="s">
        <v>196</v>
      </c>
      <c r="G12" s="29"/>
      <c r="H12" s="29"/>
      <c r="I12" s="29"/>
      <c r="J12" s="29"/>
      <c r="K12" s="29"/>
      <c r="L12" s="29"/>
      <c r="M12" s="29"/>
    </row>
    <row r="13" spans="1:13" ht="15" customHeight="1" x14ac:dyDescent="0.2">
      <c r="A13" s="29"/>
      <c r="B13" s="14" t="s">
        <v>200</v>
      </c>
      <c r="C13" s="14" t="s">
        <v>200</v>
      </c>
      <c r="D13" s="15" t="s">
        <v>198</v>
      </c>
      <c r="E13" s="15" t="s">
        <v>198</v>
      </c>
      <c r="F13" s="15" t="s">
        <v>198</v>
      </c>
      <c r="G13" s="29"/>
      <c r="H13" s="29"/>
      <c r="I13" s="29"/>
      <c r="J13" s="29"/>
      <c r="K13" s="29"/>
      <c r="L13" s="29"/>
      <c r="M13" s="29"/>
    </row>
    <row r="14" spans="1:13" ht="15" customHeight="1" x14ac:dyDescent="0.2">
      <c r="A14" s="30" t="s">
        <v>11</v>
      </c>
      <c r="B14" s="10" t="s">
        <v>29</v>
      </c>
      <c r="C14" s="10" t="s">
        <v>29</v>
      </c>
      <c r="D14" s="11" t="s">
        <v>30</v>
      </c>
      <c r="E14" s="11" t="s">
        <v>31</v>
      </c>
      <c r="F14" s="11" t="s">
        <v>32</v>
      </c>
      <c r="G14" s="29"/>
      <c r="H14" s="29"/>
      <c r="I14" s="29"/>
      <c r="J14" s="29"/>
      <c r="K14" s="29"/>
      <c r="L14" s="29"/>
      <c r="M14" s="29"/>
    </row>
    <row r="15" spans="1:13" ht="15" customHeight="1" x14ac:dyDescent="0.2">
      <c r="A15" s="29"/>
      <c r="B15" s="12" t="s">
        <v>196</v>
      </c>
      <c r="C15" s="12" t="s">
        <v>196</v>
      </c>
      <c r="D15" s="13" t="s">
        <v>196</v>
      </c>
      <c r="E15" s="13" t="s">
        <v>196</v>
      </c>
      <c r="F15" s="13" t="s">
        <v>196</v>
      </c>
      <c r="G15" s="29"/>
      <c r="H15" s="29"/>
      <c r="I15" s="29"/>
      <c r="J15" s="29"/>
      <c r="K15" s="29"/>
      <c r="L15" s="29"/>
      <c r="M15" s="29"/>
    </row>
    <row r="16" spans="1:13" ht="15" customHeight="1" x14ac:dyDescent="0.2">
      <c r="A16" s="29"/>
      <c r="B16" s="14" t="s">
        <v>201</v>
      </c>
      <c r="C16" s="14" t="s">
        <v>201</v>
      </c>
      <c r="D16" s="15" t="s">
        <v>198</v>
      </c>
      <c r="E16" s="15" t="s">
        <v>198</v>
      </c>
      <c r="F16" s="15" t="s">
        <v>198</v>
      </c>
      <c r="G16" s="29"/>
      <c r="H16" s="29"/>
      <c r="I16" s="29"/>
      <c r="J16" s="29"/>
      <c r="K16" s="29"/>
      <c r="L16" s="29"/>
      <c r="M16" s="29"/>
    </row>
    <row r="17" spans="1:13" ht="15" customHeight="1" x14ac:dyDescent="0.2">
      <c r="A17" s="30" t="s">
        <v>12</v>
      </c>
      <c r="B17" s="10" t="s">
        <v>33</v>
      </c>
      <c r="C17" s="10" t="s">
        <v>33</v>
      </c>
      <c r="D17" s="11" t="s">
        <v>34</v>
      </c>
      <c r="E17" s="11" t="s">
        <v>35</v>
      </c>
      <c r="F17" s="11" t="s">
        <v>36</v>
      </c>
      <c r="G17" s="29"/>
      <c r="H17" s="29"/>
      <c r="I17" s="29"/>
      <c r="J17" s="29"/>
      <c r="K17" s="29"/>
      <c r="L17" s="29"/>
      <c r="M17" s="29"/>
    </row>
    <row r="18" spans="1:13" ht="15" customHeight="1" x14ac:dyDescent="0.2">
      <c r="A18" s="29"/>
      <c r="B18" s="12" t="s">
        <v>196</v>
      </c>
      <c r="C18" s="12" t="s">
        <v>196</v>
      </c>
      <c r="D18" s="13" t="s">
        <v>196</v>
      </c>
      <c r="E18" s="13" t="s">
        <v>196</v>
      </c>
      <c r="F18" s="13" t="s">
        <v>196</v>
      </c>
      <c r="G18" s="29"/>
      <c r="H18" s="29"/>
      <c r="I18" s="29"/>
      <c r="J18" s="29"/>
      <c r="K18" s="29"/>
      <c r="L18" s="29"/>
      <c r="M18" s="29"/>
    </row>
    <row r="19" spans="1:13" ht="15" customHeight="1" x14ac:dyDescent="0.2">
      <c r="A19" s="29"/>
      <c r="B19" s="14" t="s">
        <v>202</v>
      </c>
      <c r="C19" s="14" t="s">
        <v>202</v>
      </c>
      <c r="D19" s="15" t="s">
        <v>198</v>
      </c>
      <c r="E19" s="15" t="s">
        <v>198</v>
      </c>
      <c r="F19" s="15" t="s">
        <v>198</v>
      </c>
      <c r="G19" s="29"/>
      <c r="H19" s="29"/>
      <c r="I19" s="29"/>
      <c r="J19" s="29"/>
      <c r="K19" s="29"/>
      <c r="L19" s="29"/>
      <c r="M19" s="29"/>
    </row>
    <row r="20" spans="1:13" ht="15" customHeight="1" x14ac:dyDescent="0.2">
      <c r="A20" s="30" t="s">
        <v>13</v>
      </c>
      <c r="B20" s="10" t="s">
        <v>37</v>
      </c>
      <c r="C20" s="10" t="s">
        <v>37</v>
      </c>
      <c r="D20" s="11" t="s">
        <v>38</v>
      </c>
      <c r="E20" s="11" t="s">
        <v>39</v>
      </c>
      <c r="F20" s="11" t="s">
        <v>40</v>
      </c>
      <c r="G20" s="29"/>
      <c r="H20" s="29"/>
      <c r="I20" s="29"/>
      <c r="J20" s="29"/>
      <c r="K20" s="29"/>
      <c r="L20" s="29"/>
      <c r="M20" s="29"/>
    </row>
    <row r="21" spans="1:13" ht="15" customHeight="1" x14ac:dyDescent="0.2">
      <c r="A21" s="29"/>
      <c r="B21" s="12" t="s">
        <v>196</v>
      </c>
      <c r="C21" s="12" t="s">
        <v>196</v>
      </c>
      <c r="D21" s="13" t="s">
        <v>196</v>
      </c>
      <c r="E21" s="13" t="s">
        <v>196</v>
      </c>
      <c r="F21" s="13" t="s">
        <v>196</v>
      </c>
      <c r="G21" s="29"/>
      <c r="H21" s="29"/>
      <c r="I21" s="29"/>
      <c r="J21" s="29"/>
      <c r="K21" s="29"/>
      <c r="L21" s="29"/>
      <c r="M21" s="29"/>
    </row>
    <row r="22" spans="1:13" ht="15" customHeight="1" x14ac:dyDescent="0.2">
      <c r="A22" s="29"/>
      <c r="B22" s="14" t="s">
        <v>203</v>
      </c>
      <c r="C22" s="14" t="s">
        <v>203</v>
      </c>
      <c r="D22" s="15" t="s">
        <v>198</v>
      </c>
      <c r="E22" s="15" t="s">
        <v>198</v>
      </c>
      <c r="F22" s="15" t="s">
        <v>198</v>
      </c>
      <c r="G22" s="29"/>
      <c r="H22" s="29"/>
      <c r="I22" s="29"/>
      <c r="J22" s="29"/>
      <c r="K22" s="29"/>
      <c r="L22" s="29"/>
      <c r="M22" s="29"/>
    </row>
    <row r="23" spans="1:13" ht="15" customHeight="1" x14ac:dyDescent="0.2">
      <c r="A23" s="30" t="s">
        <v>14</v>
      </c>
      <c r="B23" s="10" t="s">
        <v>41</v>
      </c>
      <c r="C23" s="11" t="s">
        <v>42</v>
      </c>
      <c r="D23" s="11" t="s">
        <v>42</v>
      </c>
      <c r="E23" s="11" t="s">
        <v>43</v>
      </c>
      <c r="F23" s="11" t="s">
        <v>44</v>
      </c>
      <c r="G23" s="29"/>
      <c r="H23" s="29"/>
      <c r="I23" s="29"/>
      <c r="J23" s="29"/>
      <c r="K23" s="29"/>
      <c r="L23" s="29"/>
      <c r="M23" s="29"/>
    </row>
    <row r="24" spans="1:13" ht="15" customHeight="1" x14ac:dyDescent="0.2">
      <c r="A24" s="29"/>
      <c r="B24" s="12" t="s">
        <v>196</v>
      </c>
      <c r="C24" s="13" t="s">
        <v>196</v>
      </c>
      <c r="D24" s="13" t="s">
        <v>196</v>
      </c>
      <c r="E24" s="13" t="s">
        <v>196</v>
      </c>
      <c r="F24" s="13" t="s">
        <v>196</v>
      </c>
      <c r="G24" s="29"/>
      <c r="H24" s="29"/>
      <c r="I24" s="29"/>
      <c r="J24" s="29"/>
      <c r="K24" s="29"/>
      <c r="L24" s="29"/>
      <c r="M24" s="29"/>
    </row>
    <row r="25" spans="1:13" ht="15" customHeight="1" x14ac:dyDescent="0.2">
      <c r="A25" s="29"/>
      <c r="B25" s="14" t="s">
        <v>204</v>
      </c>
      <c r="C25" s="15" t="s">
        <v>198</v>
      </c>
      <c r="D25" s="15" t="s">
        <v>198</v>
      </c>
      <c r="E25" s="15" t="s">
        <v>198</v>
      </c>
      <c r="F25" s="15" t="s">
        <v>198</v>
      </c>
      <c r="G25" s="29"/>
      <c r="H25" s="29"/>
      <c r="I25" s="29"/>
      <c r="J25" s="29"/>
      <c r="K25" s="29"/>
      <c r="L25" s="29"/>
      <c r="M25" s="29"/>
    </row>
    <row r="26" spans="1:13" ht="15" customHeight="1" x14ac:dyDescent="0.2">
      <c r="A26" s="30" t="s">
        <v>15</v>
      </c>
      <c r="B26" s="16" t="s">
        <v>45</v>
      </c>
      <c r="C26" s="16" t="s">
        <v>45</v>
      </c>
      <c r="D26" s="11" t="s">
        <v>46</v>
      </c>
      <c r="E26" s="11" t="s">
        <v>47</v>
      </c>
      <c r="F26" s="11" t="s">
        <v>48</v>
      </c>
      <c r="G26" s="29"/>
      <c r="H26" s="29"/>
      <c r="I26" s="29"/>
      <c r="J26" s="29"/>
      <c r="K26" s="29"/>
      <c r="L26" s="29"/>
      <c r="M26" s="29"/>
    </row>
    <row r="27" spans="1:13" ht="15" customHeight="1" x14ac:dyDescent="0.2">
      <c r="A27" s="29"/>
      <c r="B27" s="17" t="s">
        <v>196</v>
      </c>
      <c r="C27" s="17" t="s">
        <v>196</v>
      </c>
      <c r="D27" s="13" t="s">
        <v>196</v>
      </c>
      <c r="E27" s="13" t="s">
        <v>196</v>
      </c>
      <c r="F27" s="13" t="s">
        <v>196</v>
      </c>
      <c r="G27" s="29"/>
      <c r="H27" s="29"/>
      <c r="I27" s="29"/>
      <c r="J27" s="29"/>
      <c r="K27" s="29"/>
      <c r="L27" s="29"/>
      <c r="M27" s="29"/>
    </row>
    <row r="28" spans="1:13" ht="15" customHeight="1" x14ac:dyDescent="0.2">
      <c r="A28" s="29"/>
      <c r="B28" s="18"/>
      <c r="C28" s="18"/>
      <c r="D28" s="15" t="s">
        <v>198</v>
      </c>
      <c r="E28" s="15" t="s">
        <v>198</v>
      </c>
      <c r="F28" s="15" t="s">
        <v>198</v>
      </c>
      <c r="G28" s="29"/>
      <c r="H28" s="29"/>
      <c r="I28" s="29"/>
      <c r="J28" s="29"/>
      <c r="K28" s="29"/>
      <c r="L28" s="29"/>
      <c r="M28" s="29"/>
    </row>
    <row r="33" spans="1:1" ht="15" customHeight="1" x14ac:dyDescent="0.2">
      <c r="A33" t="s">
        <v>3</v>
      </c>
    </row>
  </sheetData>
  <mergeCells count="64">
    <mergeCell ref="A20:A22"/>
    <mergeCell ref="A23:A25"/>
    <mergeCell ref="A26:A28"/>
    <mergeCell ref="G5:G7"/>
    <mergeCell ref="G8:G10"/>
    <mergeCell ref="G11:G13"/>
    <mergeCell ref="G14:G16"/>
    <mergeCell ref="G17:G19"/>
    <mergeCell ref="G20:G22"/>
    <mergeCell ref="G23:G25"/>
    <mergeCell ref="G26:G28"/>
    <mergeCell ref="A5:A7"/>
    <mergeCell ref="A8:A10"/>
    <mergeCell ref="A11:A13"/>
    <mergeCell ref="A14:A16"/>
    <mergeCell ref="A17:A19"/>
    <mergeCell ref="H20:H22"/>
    <mergeCell ref="H23:H25"/>
    <mergeCell ref="H26:H28"/>
    <mergeCell ref="I5:I7"/>
    <mergeCell ref="I8:I10"/>
    <mergeCell ref="I11:I13"/>
    <mergeCell ref="I14:I16"/>
    <mergeCell ref="I17:I19"/>
    <mergeCell ref="I20:I22"/>
    <mergeCell ref="I23:I25"/>
    <mergeCell ref="I26:I28"/>
    <mergeCell ref="H5:H7"/>
    <mergeCell ref="H8:H10"/>
    <mergeCell ref="H11:H13"/>
    <mergeCell ref="H14:H16"/>
    <mergeCell ref="H17:H19"/>
    <mergeCell ref="J20:J22"/>
    <mergeCell ref="J23:J25"/>
    <mergeCell ref="J26:J28"/>
    <mergeCell ref="K5:K7"/>
    <mergeCell ref="K8:K10"/>
    <mergeCell ref="K11:K13"/>
    <mergeCell ref="K14:K16"/>
    <mergeCell ref="K17:K19"/>
    <mergeCell ref="K20:K22"/>
    <mergeCell ref="K23:K25"/>
    <mergeCell ref="K26:K28"/>
    <mergeCell ref="J5:J7"/>
    <mergeCell ref="J8:J10"/>
    <mergeCell ref="J11:J13"/>
    <mergeCell ref="J14:J16"/>
    <mergeCell ref="J17:J19"/>
    <mergeCell ref="L20:L22"/>
    <mergeCell ref="L23:L25"/>
    <mergeCell ref="L26:L28"/>
    <mergeCell ref="M5:M7"/>
    <mergeCell ref="M8:M10"/>
    <mergeCell ref="M11:M13"/>
    <mergeCell ref="M14:M16"/>
    <mergeCell ref="M17:M19"/>
    <mergeCell ref="M20:M22"/>
    <mergeCell ref="M23:M25"/>
    <mergeCell ref="M26:M28"/>
    <mergeCell ref="L5:L7"/>
    <mergeCell ref="L8:L10"/>
    <mergeCell ref="L11:L13"/>
    <mergeCell ref="L14:L16"/>
    <mergeCell ref="L17:L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2026-08-27T21:09:00Z</dcterms:created>
  <dcterms:modified xsi:type="dcterms:W3CDTF">2026-10-08T14:50:06Z</dcterms:modified>
</cp:coreProperties>
</file>