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New folder/"/>
    </mc:Choice>
  </mc:AlternateContent>
  <xr:revisionPtr revIDLastSave="285" documentId="13_ncr:1_{1D244A17-ACE5-4E9D-9C02-D9623633349F}" xr6:coauthVersionLast="47" xr6:coauthVersionMax="47" xr10:uidLastSave="{477F897B-95FE-45FD-884D-74ED1ED1E66C}"/>
  <bookViews>
    <workbookView xWindow="-120" yWindow="-120" windowWidth="29040" windowHeight="15720" activeTab="4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09_10_26_First trial" sheetId="4" r:id="rId4"/>
    <sheet name="09_17_26_Second trial" sheetId="11" r:id="rId5"/>
    <sheet name="General information" sheetId="5" r:id="rId6"/>
    <sheet name="Session information" sheetId="6" r:id="rId7"/>
    <sheet name="Instrument information" sheetId="7" r:id="rId8"/>
    <sheet name="Protocol parameters" sheetId="8" r:id="rId9"/>
    <sheet name="Run log" sheetId="9" r:id="rId10"/>
    <sheet name="Layout definitions" sheetId="10" r:id="rId11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8" i="11" l="1"/>
  <c r="M97" i="11"/>
  <c r="M96" i="11"/>
  <c r="M95" i="11"/>
  <c r="L91" i="11"/>
  <c r="L90" i="11"/>
  <c r="L89" i="11"/>
  <c r="L88" i="11"/>
  <c r="M83" i="11"/>
  <c r="M82" i="11"/>
  <c r="M81" i="11"/>
  <c r="M80" i="11"/>
  <c r="M79" i="11"/>
  <c r="L76" i="11"/>
  <c r="L75" i="11"/>
  <c r="L74" i="11"/>
  <c r="L73" i="11"/>
  <c r="L72" i="11"/>
  <c r="L101" i="4"/>
  <c r="L102" i="4"/>
  <c r="K93" i="4"/>
  <c r="K94" i="4"/>
  <c r="K95" i="4"/>
  <c r="K96" i="4"/>
  <c r="K92" i="4"/>
  <c r="K78" i="4"/>
  <c r="K79" i="4"/>
  <c r="K80" i="4"/>
  <c r="K81" i="4"/>
  <c r="K77" i="4"/>
  <c r="L100" i="4"/>
  <c r="L87" i="4"/>
  <c r="L86" i="4"/>
  <c r="L85" i="4"/>
  <c r="L84" i="4"/>
</calcChain>
</file>

<file path=xl/sharedStrings.xml><?xml version="1.0" encoding="utf-8"?>
<sst xmlns="http://schemas.openxmlformats.org/spreadsheetml/2006/main" count="1054" uniqueCount="298">
  <si>
    <t>Measurement results</t>
  </si>
  <si>
    <t>Equine Leptin_Neoscientific-09_10_26.skax</t>
  </si>
  <si>
    <t>2026-09-10T17:15:07-05:00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</si>
  <si>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</si>
  <si>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</si>
  <si>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</si>
  <si>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</si>
  <si>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</si>
  <si>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</si>
  <si>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</si>
  <si>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</si>
  <si>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</si>
  <si>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</si>
  <si>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</si>
  <si>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</si>
  <si>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</si>
  <si>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</si>
  <si>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Std60001</t>
  </si>
  <si>
    <t>Un0004</t>
  </si>
  <si>
    <t>Un0005</t>
  </si>
  <si>
    <t>Un0006</t>
  </si>
  <si>
    <t>Un0007</t>
  </si>
  <si>
    <t>Std50001</t>
  </si>
  <si>
    <t>Un0008</t>
  </si>
  <si>
    <t>Un0009</t>
  </si>
  <si>
    <t>Un0010</t>
  </si>
  <si>
    <t>Un0011</t>
  </si>
  <si>
    <t>Std40001</t>
  </si>
  <si>
    <t>Un0012</t>
  </si>
  <si>
    <t>Un0013</t>
  </si>
  <si>
    <t>Un0014</t>
  </si>
  <si>
    <t>Un0015</t>
  </si>
  <si>
    <t>Std30001</t>
  </si>
  <si>
    <t>Un0016</t>
  </si>
  <si>
    <t>Un0017</t>
  </si>
  <si>
    <t>Un0018</t>
  </si>
  <si>
    <t>Un0019</t>
  </si>
  <si>
    <t>Std20001</t>
  </si>
  <si>
    <t>Un0020</t>
  </si>
  <si>
    <t>Un0021</t>
  </si>
  <si>
    <t>Un0022</t>
  </si>
  <si>
    <t>Un0023</t>
  </si>
  <si>
    <t>Std10001</t>
  </si>
  <si>
    <t>Un0024</t>
  </si>
  <si>
    <t>Un0025</t>
  </si>
  <si>
    <t>Un0026</t>
  </si>
  <si>
    <t>Un0027</t>
  </si>
  <si>
    <t>Un0001</t>
  </si>
  <si>
    <t>Un0002</t>
  </si>
  <si>
    <t>Un0028</t>
  </si>
  <si>
    <t>Un0029</t>
  </si>
  <si>
    <t>Un0030</t>
  </si>
  <si>
    <t>Un0031</t>
  </si>
  <si>
    <t>Blank1</t>
  </si>
  <si>
    <t>Un0003</t>
  </si>
  <si>
    <t>Un0032</t>
  </si>
  <si>
    <t>Un0033</t>
  </si>
  <si>
    <t>Un0034</t>
  </si>
  <si>
    <t>Un0035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</si>
  <si>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</si>
  <si>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</si>
  <si>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</si>
  <si>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</si>
  <si>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</si>
  <si>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</si>
  <si>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</si>
  <si>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2.10265 + ( (0.38362 - 2.10265) / ( 1 + (x/4.19327)^-1.00086)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</si>
  <si>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</si>
  <si>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</si>
  <si>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</si>
  <si>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</si>
  <si>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</si>
  <si>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</si>
  <si>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</si>
  <si>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</si>
  <si>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</t>
  </si>
  <si>
    <t>Original signal</t>
  </si>
  <si>
    <t>CV%</t>
  </si>
  <si>
    <t>Fitted signal</t>
  </si>
  <si>
    <t>Residual</t>
  </si>
  <si>
    <t>Average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</si>
  <si>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</si>
  <si>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</si>
  <si>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</si>
  <si>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</si>
  <si>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</si>
  <si>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</si>
  <si>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</si>
  <si>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</si>
  <si>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</si>
  <si>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</si>
  <si>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</si>
  <si>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</si>
  <si>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</si>
  <si>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</si>
  <si>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 xml:space="preserve"> &gt; Max</t>
  </si>
  <si>
    <t>Autoloading range A1 - M98</t>
  </si>
  <si>
    <t>Blank Subtraction 1</t>
  </si>
  <si>
    <t>Blank subtracted</t>
  </si>
  <si>
    <t>Autoloading range A1 - M31</t>
  </si>
  <si>
    <t>Standard Curve 2</t>
  </si>
  <si>
    <t>y = 2.03228 + ( (0.31325 - 2.03228) / ( 1 + (x/4.19327)^-1.00086)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</si>
  <si>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</si>
  <si>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</si>
  <si>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</si>
  <si>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</si>
  <si>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</si>
  <si>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</si>
  <si>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</si>
  <si>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</si>
  <si>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Equine Leptin_NeoScientific-09_10_26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</si>
  <si>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</si>
  <si>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</si>
  <si>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</si>
  <si>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</si>
  <si>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</si>
  <si>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</si>
  <si>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</si>
  <si>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</si>
  <si>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</si>
  <si>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</si>
  <si>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</si>
  <si>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</si>
  <si>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</si>
  <si>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</si>
  <si>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</si>
  <si>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</si>
  <si>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</si>
  <si>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</si>
  <si>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</si>
  <si>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</si>
  <si>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</si>
  <si>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</si>
  <si>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</si>
  <si>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</si>
  <si>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</si>
  <si>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</si>
  <si>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</si>
  <si>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</si>
  <si>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</si>
  <si>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</si>
  <si>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</si>
  <si>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</si>
  <si>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</si>
  <si>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</si>
  <si>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</si>
  <si>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</si>
  <si>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</si>
  <si>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</si>
  <si>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</si>
  <si>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</si>
  <si>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</si>
  <si>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</si>
  <si>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</si>
  <si>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</si>
  <si>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</si>
  <si>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</si>
  <si>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</si>
  <si>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</si>
  <si>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</si>
  <si>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</si>
  <si>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</si>
  <si>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</si>
  <si>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</si>
  <si>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</si>
  <si>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</si>
  <si>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</si>
  <si>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</si>
  <si>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</si>
  <si>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</si>
  <si>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</si>
  <si>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</si>
  <si>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</si>
  <si>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</si>
  <si>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</si>
  <si>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</si>
  <si>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</si>
  <si>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</si>
  <si>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</si>
  <si>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</si>
  <si>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</si>
  <si>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</si>
  <si>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</si>
  <si>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</si>
  <si>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</si>
  <si>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</si>
  <si>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</si>
  <si>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</si>
  <si>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</si>
  <si>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</si>
  <si>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Equine Leptin_Neoscientific-09_10_26.skax started</t>
  </si>
  <si>
    <t>Temperature</t>
  </si>
  <si>
    <t>36.9°C</t>
  </si>
  <si>
    <t>2026-09-10T17:15:08-05:00</t>
  </si>
  <si>
    <t>Step Shake 1 started</t>
  </si>
  <si>
    <t>2026-09-10T17:15:16-05:00</t>
  </si>
  <si>
    <t>37.0°C</t>
  </si>
  <si>
    <t>2026-09-10T17:15:30-05:00</t>
  </si>
  <si>
    <t>Step Shake 1 ended</t>
  </si>
  <si>
    <t>Step Absorbance 1 started</t>
  </si>
  <si>
    <t>2026-09-10T17:15:53-05:00</t>
  </si>
  <si>
    <t>Step Absorbance 1 ended</t>
  </si>
  <si>
    <t>2026-09-10T17:15:58-05:00</t>
  </si>
  <si>
    <t>Session Equine Leptin_Neoscientific-09_10_26.skax ended</t>
  </si>
  <si>
    <t>Plate template</t>
  </si>
  <si>
    <t>ANSI/SBS Standard, 96-well</t>
  </si>
  <si>
    <t>Group 1</t>
  </si>
  <si>
    <t xml:space="preserve">0 </t>
  </si>
  <si>
    <t>1:1</t>
  </si>
  <si>
    <t xml:space="preserve">1 </t>
  </si>
  <si>
    <t xml:space="preserve">2.5 </t>
  </si>
  <si>
    <t xml:space="preserve">5 </t>
  </si>
  <si>
    <t xml:space="preserve">10 </t>
  </si>
  <si>
    <t xml:space="preserve">25 </t>
  </si>
  <si>
    <t>Serum 2X</t>
  </si>
  <si>
    <t>Serum 1X</t>
  </si>
  <si>
    <t>Serum 4X</t>
  </si>
  <si>
    <t>Serum 16X</t>
  </si>
  <si>
    <t>Serum 64X</t>
  </si>
  <si>
    <t>EtOH 2X</t>
  </si>
  <si>
    <t>EtOH 1X</t>
  </si>
  <si>
    <t>EtOH 4X</t>
  </si>
  <si>
    <t>EtOH 16X</t>
  </si>
  <si>
    <t>EtOH 64X</t>
  </si>
  <si>
    <t>Std4 2.5</t>
  </si>
  <si>
    <t>Std5 1.0</t>
  </si>
  <si>
    <t>Std6 0.0</t>
  </si>
  <si>
    <t>Std3 5.0</t>
  </si>
  <si>
    <t>Std2 10.0</t>
  </si>
  <si>
    <t>Std1 25.0</t>
  </si>
  <si>
    <t>Sp1 4 (Serum 1X)</t>
  </si>
  <si>
    <t>Sp5 4 (EtOH 1X)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</si>
  <si>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</si>
  <si>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</si>
  <si>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</si>
  <si>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</si>
  <si>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</si>
  <si>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</si>
  <si>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</si>
  <si>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N/A</t>
  </si>
  <si>
    <t>Serum treated with EtOH</t>
  </si>
  <si>
    <t>&gt;Max</t>
  </si>
  <si>
    <t>Sp2 4 (Serum 4X)</t>
  </si>
  <si>
    <t>Sp3 4 (Serum 16X)</t>
  </si>
  <si>
    <t>Sp4 4 (Serum 64X)</t>
  </si>
  <si>
    <t>Sp6 4 (EtOH 4X)</t>
  </si>
  <si>
    <t>Sp7 4 (EtOH 16X)</t>
  </si>
  <si>
    <t>Sp8 4 (EtOH 64X)</t>
  </si>
  <si>
    <t>Spikes Preparation</t>
  </si>
  <si>
    <t>Sample vol (uL)</t>
  </si>
  <si>
    <t>Std vol (uL)</t>
  </si>
  <si>
    <t>Std Conc (ng/mL)</t>
  </si>
  <si>
    <t>Spike Conc (ng/mL)</t>
  </si>
  <si>
    <t>EtOH = ethanol extracted serum</t>
  </si>
  <si>
    <t>Sp = spike</t>
  </si>
  <si>
    <t>Spike 1 (Serum 1X)</t>
  </si>
  <si>
    <t>Spike 2 (Serum 4X)</t>
  </si>
  <si>
    <t>Spike 3 (Serum 16X)</t>
  </si>
  <si>
    <t>Spike 4 (Serum 64X</t>
  </si>
  <si>
    <t>Spike 5 (EtOH 1X)</t>
  </si>
  <si>
    <t>Spike 6 (EtOH 4X)</t>
  </si>
  <si>
    <t>Spike 7 (EtOH 16X)</t>
  </si>
  <si>
    <t>Spike 8 (EtOH 64X</t>
  </si>
  <si>
    <t>Equine leptin_Neoscientific_2nd Trial_09_17_2026.skax</t>
  </si>
  <si>
    <t>2026-09-17T15:06:00-05:00</t>
  </si>
  <si>
    <t>y = 0.532971 + ( (0.0793811 - 0.532971) / ( 1 + (x/4.44532)^-0.950401) )</t>
  </si>
  <si>
    <t>R²: 0.997</t>
  </si>
  <si>
    <t>Conc. [ng/mL]</t>
  </si>
  <si>
    <t>&lt;min</t>
  </si>
  <si>
    <t>Serum 2.5X</t>
  </si>
  <si>
    <t>Sp4 1.12 (Serum 10X)</t>
  </si>
  <si>
    <t>Serum 5X</t>
  </si>
  <si>
    <t>Sp5 0.56 (Serum 10X)</t>
  </si>
  <si>
    <t>Serum 10X</t>
  </si>
  <si>
    <t>EtOH 10X</t>
  </si>
  <si>
    <t xml:space="preserve">Std3 5.0 </t>
  </si>
  <si>
    <t>Serum 20X</t>
  </si>
  <si>
    <t>EtOH 20X</t>
  </si>
  <si>
    <t>Serum 40X</t>
  </si>
  <si>
    <t>EtOH 40X</t>
  </si>
  <si>
    <t>Sp1 8.94 (Serum 10X)</t>
  </si>
  <si>
    <t>Sp6 8.6  (EtOH 10X)</t>
  </si>
  <si>
    <t>Sp9 1.075  (EtOH 10X)</t>
  </si>
  <si>
    <t>EtOH 5X</t>
  </si>
  <si>
    <t>Sp2 4.47 (Serum 10X)</t>
  </si>
  <si>
    <t>Sp7 4.3 (EtOH 10X)</t>
  </si>
  <si>
    <t>Blank</t>
  </si>
  <si>
    <t>Sp3 2.235 (Serum 10X)</t>
  </si>
  <si>
    <t>Sp8 2.15 (EtOH 10X)</t>
  </si>
  <si>
    <t>Spike 1 (Serum 10X)</t>
  </si>
  <si>
    <t>Spike 2 (Serum 10X)</t>
  </si>
  <si>
    <t>Spike 3 (Serum 10X)</t>
  </si>
  <si>
    <t>Spike 4 (Serum 10X)</t>
  </si>
  <si>
    <t>Spike 5  (Serum 10X)</t>
  </si>
  <si>
    <t>Spike 6 (EtOH 10X)</t>
  </si>
  <si>
    <t>Spike 7 (EtOH 10X)</t>
  </si>
  <si>
    <t>Spike 8 (EtOH 10X)</t>
  </si>
  <si>
    <t>Spike 9 (EtOH 10X)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</si>
</sst>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"/>
    <numFmt numFmtId="166" formatCode="0.000000"/>
    <numFmt numFmtId="167" formatCode="0.00000000"/>
    <numFmt numFmtId="168" formatCode="0.0000000"/>
    <numFmt numFmtId="169" formatCode="0.000000000"/>
  </numFmts>
  <fonts count="3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164" fontId="0" fillId="0" borderId="5" xfId="0" applyNumberForma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0" fillId="5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66" fontId="1" fillId="0" borderId="5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2" fillId="6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1" fillId="0" borderId="0" xfId="0" applyFont="1"/>
    <xf numFmtId="0" fontId="2" fillId="0" borderId="5" xfId="0" applyFont="1" applyBorder="1" applyAlignment="1">
      <alignment horizontal="left"/>
    </xf>
    <xf numFmtId="165" fontId="1" fillId="0" borderId="5" xfId="0" applyNumberFormat="1" applyFont="1" applyBorder="1" applyAlignment="1">
      <alignment horizontal="left"/>
    </xf>
    <xf numFmtId="166" fontId="1" fillId="0" borderId="5" xfId="0" applyNumberFormat="1" applyFont="1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152400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885825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285750</xdr:colOff>
      <xdr:row>33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2D9AC-8222-4961-A397-AFF08ADFF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1"/>
  <sheetViews>
    <sheetView workbookViewId="0">
      <selection activeCell="D10" sqref="D10:E18"/>
    </sheetView>
  </sheetViews>
  <sheetFormatPr defaultColWidth="9.140625" defaultRowHeight="15" customHeight="1" x14ac:dyDescent="0.2"/>
  <cols>
    <col min="1" max="1" width="9.7109375" customWidth="1"/>
    <col min="2" max="2" width="19.28515625" customWidth="1"/>
    <col min="3" max="3" width="17.5703125" customWidth="1"/>
    <col min="4" max="7" width="18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0" t="s">
        <v>7</v>
      </c>
      <c r="B10" s="22">
        <v>1</v>
      </c>
      <c r="C10" s="22">
        <v>2</v>
      </c>
      <c r="D10" s="31">
        <v>3</v>
      </c>
      <c r="E10" s="31">
        <v>4</v>
      </c>
      <c r="F10" s="22">
        <v>5</v>
      </c>
      <c r="G10" s="22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s="20" t="s">
        <v>8</v>
      </c>
      <c r="B11" s="23">
        <v>2.0811999999999999</v>
      </c>
      <c r="C11" s="23">
        <v>2.1248</v>
      </c>
      <c r="D11" s="38">
        <v>0.49309999999999998</v>
      </c>
      <c r="E11" s="38">
        <v>0.2772</v>
      </c>
      <c r="F11" s="23">
        <v>2.1669999999999998</v>
      </c>
      <c r="G11" s="23">
        <v>1.8458000000000001</v>
      </c>
    </row>
    <row r="12" spans="1:13" ht="15" customHeight="1" x14ac:dyDescent="0.2">
      <c r="A12" s="20" t="s">
        <v>9</v>
      </c>
      <c r="B12" s="23">
        <v>1.7776000000000001</v>
      </c>
      <c r="C12" s="23">
        <v>1.77</v>
      </c>
      <c r="D12" s="38">
        <v>0.64280000000000004</v>
      </c>
      <c r="E12" s="38">
        <v>0.51519999999999999</v>
      </c>
      <c r="F12" s="23">
        <v>1.9492</v>
      </c>
      <c r="G12" s="23">
        <v>1.7678</v>
      </c>
    </row>
    <row r="13" spans="1:13" ht="15" customHeight="1" x14ac:dyDescent="0.2">
      <c r="A13" s="20" t="s">
        <v>10</v>
      </c>
      <c r="B13" s="23">
        <v>1.4371</v>
      </c>
      <c r="C13" s="23">
        <v>1.4601</v>
      </c>
      <c r="D13" s="38">
        <v>0.69479999999999997</v>
      </c>
      <c r="E13" s="38">
        <v>1.2802</v>
      </c>
      <c r="F13" s="23">
        <v>1.0214000000000001</v>
      </c>
      <c r="G13" s="23">
        <v>1.0061</v>
      </c>
    </row>
    <row r="14" spans="1:13" ht="15" customHeight="1" x14ac:dyDescent="0.2">
      <c r="A14" s="20" t="s">
        <v>11</v>
      </c>
      <c r="B14" s="23">
        <v>1.1981999999999999</v>
      </c>
      <c r="C14" s="23">
        <v>1.1817</v>
      </c>
      <c r="D14" s="38">
        <v>1.0901000000000001</v>
      </c>
      <c r="E14" s="38">
        <v>1.8201000000000001</v>
      </c>
      <c r="F14" s="23">
        <v>1.4081999999999999</v>
      </c>
      <c r="G14" s="23">
        <v>1.3238000000000001</v>
      </c>
    </row>
    <row r="15" spans="1:13" ht="15" customHeight="1" x14ac:dyDescent="0.2">
      <c r="A15" s="20" t="s">
        <v>12</v>
      </c>
      <c r="B15" s="23">
        <v>0.88629999999999998</v>
      </c>
      <c r="C15" s="23">
        <v>0.86199999999999999</v>
      </c>
      <c r="D15" s="38">
        <v>1.1246</v>
      </c>
      <c r="E15" s="38">
        <v>1.8463000000000001</v>
      </c>
      <c r="F15" s="23">
        <v>1.2912999999999999</v>
      </c>
      <c r="G15" s="23">
        <v>1.2693000000000001</v>
      </c>
    </row>
    <row r="16" spans="1:13" ht="15" customHeight="1" x14ac:dyDescent="0.2">
      <c r="A16" s="20" t="s">
        <v>13</v>
      </c>
      <c r="B16" s="23">
        <v>0.65090000000000003</v>
      </c>
      <c r="C16" s="23">
        <v>0.61919999999999997</v>
      </c>
      <c r="D16" s="38">
        <v>0.7369</v>
      </c>
      <c r="E16" s="38">
        <v>0.50139999999999996</v>
      </c>
      <c r="F16" s="23">
        <v>1.2594000000000001</v>
      </c>
      <c r="G16" s="23">
        <v>1.2836000000000001</v>
      </c>
    </row>
    <row r="17" spans="1:13" ht="15" customHeight="1" x14ac:dyDescent="0.2">
      <c r="A17" s="20" t="s">
        <v>14</v>
      </c>
      <c r="B17" s="23">
        <v>0.20630000000000001</v>
      </c>
      <c r="C17" s="23">
        <v>0.1983</v>
      </c>
      <c r="D17" s="38">
        <v>0.74770000000000003</v>
      </c>
      <c r="E17" s="38">
        <v>0.7671</v>
      </c>
      <c r="F17" s="23">
        <v>1.2675000000000001</v>
      </c>
      <c r="G17" s="23">
        <v>1.1685000000000001</v>
      </c>
    </row>
    <row r="18" spans="1:13" ht="15" customHeight="1" x14ac:dyDescent="0.2">
      <c r="A18" s="20" t="s">
        <v>15</v>
      </c>
      <c r="B18" s="23">
        <v>7.0400000000000004E-2</v>
      </c>
      <c r="C18" s="23">
        <v>0.29799999999999999</v>
      </c>
      <c r="D18" s="38">
        <v>0.88959999999999995</v>
      </c>
      <c r="E18" s="38">
        <v>1.5768</v>
      </c>
      <c r="F18" s="23">
        <v>1.2713000000000001</v>
      </c>
      <c r="G18" s="23">
        <v>1.2218</v>
      </c>
    </row>
    <row r="20" spans="1:13" ht="15" customHeight="1" x14ac:dyDescent="0.2">
      <c r="A20" s="20" t="s">
        <v>16</v>
      </c>
      <c r="B20" s="22">
        <v>1</v>
      </c>
      <c r="C20" s="22">
        <v>2</v>
      </c>
      <c r="D20" s="22">
        <v>3</v>
      </c>
      <c r="E20" s="22">
        <v>4</v>
      </c>
      <c r="F20" s="22">
        <v>5</v>
      </c>
      <c r="G20" s="22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s="20" t="s">
        <v>8</v>
      </c>
      <c r="B21" s="20" t="s">
        <v>226</v>
      </c>
      <c r="C21" s="20" t="s">
        <v>226</v>
      </c>
      <c r="D21" s="20" t="s">
        <v>215</v>
      </c>
      <c r="E21" s="20" t="s">
        <v>215</v>
      </c>
      <c r="F21" s="20" t="s">
        <v>222</v>
      </c>
      <c r="G21" s="20" t="s">
        <v>222</v>
      </c>
    </row>
    <row r="22" spans="1:13" ht="15" customHeight="1" x14ac:dyDescent="0.2">
      <c r="A22" s="20" t="s">
        <v>9</v>
      </c>
      <c r="B22" s="20" t="s">
        <v>225</v>
      </c>
      <c r="C22" s="20" t="s">
        <v>225</v>
      </c>
      <c r="D22" s="20" t="s">
        <v>214</v>
      </c>
      <c r="E22" s="20" t="s">
        <v>214</v>
      </c>
      <c r="F22" s="20" t="s">
        <v>223</v>
      </c>
      <c r="G22" s="20" t="s">
        <v>223</v>
      </c>
    </row>
    <row r="23" spans="1:13" ht="15" customHeight="1" x14ac:dyDescent="0.2">
      <c r="A23" s="20" t="s">
        <v>10</v>
      </c>
      <c r="B23" s="20" t="s">
        <v>224</v>
      </c>
      <c r="C23" s="20" t="s">
        <v>224</v>
      </c>
      <c r="D23" s="20" t="s">
        <v>216</v>
      </c>
      <c r="E23" s="20" t="s">
        <v>216</v>
      </c>
      <c r="F23" s="21" t="s">
        <v>242</v>
      </c>
      <c r="G23" s="21" t="s">
        <v>242</v>
      </c>
    </row>
    <row r="24" spans="1:13" ht="15" customHeight="1" x14ac:dyDescent="0.2">
      <c r="A24" s="20" t="s">
        <v>11</v>
      </c>
      <c r="B24" s="20" t="s">
        <v>227</v>
      </c>
      <c r="C24" s="20" t="s">
        <v>227</v>
      </c>
      <c r="D24" s="20" t="s">
        <v>217</v>
      </c>
      <c r="E24" s="20" t="s">
        <v>217</v>
      </c>
      <c r="F24" s="21" t="s">
        <v>243</v>
      </c>
      <c r="G24" s="21" t="s">
        <v>243</v>
      </c>
    </row>
    <row r="25" spans="1:13" ht="15" customHeight="1" x14ac:dyDescent="0.2">
      <c r="A25" s="20" t="s">
        <v>12</v>
      </c>
      <c r="B25" s="20" t="s">
        <v>228</v>
      </c>
      <c r="C25" s="20" t="s">
        <v>228</v>
      </c>
      <c r="D25" s="20" t="s">
        <v>218</v>
      </c>
      <c r="E25" s="20" t="s">
        <v>218</v>
      </c>
      <c r="F25" s="21" t="s">
        <v>244</v>
      </c>
      <c r="G25" s="21" t="s">
        <v>244</v>
      </c>
    </row>
    <row r="26" spans="1:13" ht="15" customHeight="1" x14ac:dyDescent="0.2">
      <c r="A26" s="20" t="s">
        <v>13</v>
      </c>
      <c r="B26" s="20" t="s">
        <v>229</v>
      </c>
      <c r="C26" s="20" t="s">
        <v>229</v>
      </c>
      <c r="D26" s="20" t="s">
        <v>220</v>
      </c>
      <c r="E26" s="20" t="s">
        <v>220</v>
      </c>
      <c r="F26" s="21" t="s">
        <v>245</v>
      </c>
      <c r="G26" s="21" t="s">
        <v>245</v>
      </c>
    </row>
    <row r="27" spans="1:13" ht="15" customHeight="1" x14ac:dyDescent="0.2">
      <c r="A27" s="20" t="s">
        <v>14</v>
      </c>
      <c r="B27" s="21" t="s">
        <v>230</v>
      </c>
      <c r="C27" s="21" t="s">
        <v>230</v>
      </c>
      <c r="D27" s="20" t="s">
        <v>219</v>
      </c>
      <c r="E27" s="20" t="s">
        <v>219</v>
      </c>
      <c r="F27" s="21" t="s">
        <v>246</v>
      </c>
      <c r="G27" s="21" t="s">
        <v>246</v>
      </c>
    </row>
    <row r="28" spans="1:13" ht="15" customHeight="1" x14ac:dyDescent="0.2">
      <c r="A28" s="20" t="s">
        <v>15</v>
      </c>
      <c r="B28" s="20" t="s">
        <v>53</v>
      </c>
      <c r="C28" s="21" t="s">
        <v>231</v>
      </c>
      <c r="D28" s="20" t="s">
        <v>221</v>
      </c>
      <c r="E28" s="20" t="s">
        <v>221</v>
      </c>
      <c r="F28" s="21" t="s">
        <v>247</v>
      </c>
      <c r="G28" s="21" t="s">
        <v>247</v>
      </c>
    </row>
    <row r="30" spans="1:13" ht="15" customHeight="1" x14ac:dyDescent="0.2">
      <c r="A30" t="s">
        <v>59</v>
      </c>
      <c r="D30" s="43" t="s">
        <v>253</v>
      </c>
      <c r="E30" s="43"/>
    </row>
    <row r="31" spans="1:13" ht="15" customHeight="1" x14ac:dyDescent="0.2">
      <c r="D31" s="44" t="s">
        <v>254</v>
      </c>
      <c r="E31" s="4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3"/>
  <sheetViews>
    <sheetView topLeftCell="A68" workbookViewId="0">
      <selection activeCell="D70" sqref="D70:E88"/>
    </sheetView>
  </sheetViews>
  <sheetFormatPr defaultColWidth="9.140625" defaultRowHeight="15" customHeight="1" x14ac:dyDescent="0.2"/>
  <cols>
    <col min="1" max="1" width="6.85546875" customWidth="1"/>
    <col min="2" max="3" width="16.140625" customWidth="1"/>
    <col min="4" max="5" width="11.5703125" customWidth="1"/>
    <col min="6" max="7" width="19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60</v>
      </c>
    </row>
    <row r="7" spans="1:1" ht="15" customHeight="1" x14ac:dyDescent="0.2">
      <c r="A7" t="s">
        <v>61</v>
      </c>
    </row>
    <row r="8" spans="1:1" ht="15" customHeight="1" x14ac:dyDescent="0.2">
      <c r="A8" t="s">
        <v>62</v>
      </c>
    </row>
    <row r="9" spans="1:1" ht="15" customHeight="1" x14ac:dyDescent="0.2">
      <c r="A9" t="s">
        <v>63</v>
      </c>
    </row>
    <row r="10" spans="1:1" ht="15" customHeight="1" x14ac:dyDescent="0.2">
      <c r="A10" t="s">
        <v>5</v>
      </c>
    </row>
    <row r="11" spans="1:1" ht="15" customHeight="1" x14ac:dyDescent="0.2">
      <c r="A11" t="s">
        <v>64</v>
      </c>
    </row>
    <row r="12" spans="1:1" ht="15" customHeight="1" x14ac:dyDescent="0.2">
      <c r="A12" t="s">
        <v>65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66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2">
        <v>0.38362000000000002</v>
      </c>
    </row>
    <row r="41" spans="1:7" ht="12.75" x14ac:dyDescent="0.2">
      <c r="A41" t="s">
        <v>70</v>
      </c>
      <c r="B41" s="2">
        <v>-1.0008600000000001</v>
      </c>
    </row>
    <row r="42" spans="1:7" ht="12.75" x14ac:dyDescent="0.2">
      <c r="A42" t="s">
        <v>71</v>
      </c>
      <c r="B42" s="2">
        <v>4.1932700000000001</v>
      </c>
    </row>
    <row r="43" spans="1:7" ht="12.75" x14ac:dyDescent="0.2">
      <c r="A43" t="s">
        <v>72</v>
      </c>
      <c r="B43" s="2">
        <v>2.1026500000000001</v>
      </c>
    </row>
    <row r="44" spans="1:7" ht="12.75" x14ac:dyDescent="0.2"/>
    <row r="45" spans="1:7" ht="12.75" x14ac:dyDescent="0.2">
      <c r="A45" t="s">
        <v>73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42</v>
      </c>
      <c r="C48" s="3">
        <v>25</v>
      </c>
      <c r="D48" s="4">
        <v>0.63500900000000005</v>
      </c>
      <c r="E48" s="2">
        <v>3.5319199999999999</v>
      </c>
      <c r="F48" s="4">
        <v>0.63021499999999997</v>
      </c>
      <c r="G48" s="5">
        <v>4.7936999999999997E-3</v>
      </c>
    </row>
    <row r="49" spans="1:7" ht="12.75" x14ac:dyDescent="0.2">
      <c r="A49" t="s">
        <v>81</v>
      </c>
      <c r="B49" t="s">
        <v>42</v>
      </c>
      <c r="C49" s="3">
        <v>25</v>
      </c>
      <c r="D49" s="4">
        <v>0.650868</v>
      </c>
      <c r="F49" s="4">
        <v>0.63021499999999997</v>
      </c>
      <c r="G49" s="6">
        <v>2.06527E-2</v>
      </c>
    </row>
    <row r="50" spans="1:7" ht="12.75" x14ac:dyDescent="0.2">
      <c r="A50" t="s">
        <v>82</v>
      </c>
      <c r="B50" t="s">
        <v>42</v>
      </c>
      <c r="C50" s="3">
        <v>25</v>
      </c>
      <c r="D50" s="4">
        <v>0.61914999999999998</v>
      </c>
      <c r="F50" s="4">
        <v>0.63021499999999997</v>
      </c>
      <c r="G50" s="6">
        <v>-1.10653E-2</v>
      </c>
    </row>
    <row r="51" spans="1:7" ht="12.75" x14ac:dyDescent="0.2">
      <c r="A51" t="s">
        <v>80</v>
      </c>
      <c r="B51" t="s">
        <v>37</v>
      </c>
      <c r="C51" s="3">
        <v>10</v>
      </c>
      <c r="D51" s="4">
        <v>0.87415799999999999</v>
      </c>
      <c r="E51" s="2">
        <v>1.96191</v>
      </c>
      <c r="F51" s="4">
        <v>0.89122500000000004</v>
      </c>
      <c r="G51" s="6">
        <v>-1.7066899999999999E-2</v>
      </c>
    </row>
    <row r="52" spans="1:7" ht="12.75" x14ac:dyDescent="0.2">
      <c r="A52" t="s">
        <v>83</v>
      </c>
      <c r="B52" t="s">
        <v>37</v>
      </c>
      <c r="C52" s="3">
        <v>10</v>
      </c>
      <c r="D52" s="4">
        <v>0.88628499999999999</v>
      </c>
      <c r="F52" s="4">
        <v>0.89122500000000004</v>
      </c>
      <c r="G52" s="5">
        <v>-4.9398999999999997E-3</v>
      </c>
    </row>
    <row r="53" spans="1:7" ht="12.75" x14ac:dyDescent="0.2">
      <c r="A53" t="s">
        <v>84</v>
      </c>
      <c r="B53" t="s">
        <v>37</v>
      </c>
      <c r="C53" s="3">
        <v>10</v>
      </c>
      <c r="D53" s="4">
        <v>0.86203099999999999</v>
      </c>
      <c r="F53" s="4">
        <v>0.89122500000000004</v>
      </c>
      <c r="G53" s="6">
        <v>-2.9193899999999998E-2</v>
      </c>
    </row>
    <row r="54" spans="1:7" ht="12.75" x14ac:dyDescent="0.2">
      <c r="A54" t="s">
        <v>80</v>
      </c>
      <c r="B54" t="s">
        <v>32</v>
      </c>
      <c r="C54" s="2">
        <v>5</v>
      </c>
      <c r="D54" s="2">
        <v>1.18991</v>
      </c>
      <c r="E54" s="4">
        <v>0.98170500000000005</v>
      </c>
      <c r="F54" s="2">
        <v>1.1676500000000001</v>
      </c>
      <c r="G54" s="6">
        <v>2.22644E-2</v>
      </c>
    </row>
    <row r="55" spans="1:7" ht="12.75" x14ac:dyDescent="0.2">
      <c r="A55" t="s">
        <v>85</v>
      </c>
      <c r="B55" t="s">
        <v>32</v>
      </c>
      <c r="C55" s="2">
        <v>5</v>
      </c>
      <c r="D55" s="2">
        <v>1.19817</v>
      </c>
      <c r="F55" s="2">
        <v>1.1676500000000001</v>
      </c>
      <c r="G55" s="6">
        <v>3.05244E-2</v>
      </c>
    </row>
    <row r="56" spans="1:7" ht="12.75" x14ac:dyDescent="0.2">
      <c r="A56" t="s">
        <v>86</v>
      </c>
      <c r="B56" t="s">
        <v>32</v>
      </c>
      <c r="C56" s="2">
        <v>5</v>
      </c>
      <c r="D56" s="2">
        <v>1.1816500000000001</v>
      </c>
      <c r="F56" s="2">
        <v>1.1676500000000001</v>
      </c>
      <c r="G56" s="6">
        <v>1.40044E-2</v>
      </c>
    </row>
    <row r="57" spans="1:7" ht="12.75" x14ac:dyDescent="0.2">
      <c r="A57" t="s">
        <v>80</v>
      </c>
      <c r="B57" t="s">
        <v>27</v>
      </c>
      <c r="C57" s="2">
        <v>2.5</v>
      </c>
      <c r="D57" s="2">
        <v>1.44859</v>
      </c>
      <c r="E57" s="2">
        <v>1.1188</v>
      </c>
      <c r="F57" s="2">
        <v>1.46075</v>
      </c>
      <c r="G57" s="6">
        <v>-1.21628E-2</v>
      </c>
    </row>
    <row r="58" spans="1:7" ht="12.75" x14ac:dyDescent="0.2">
      <c r="A58" t="s">
        <v>87</v>
      </c>
      <c r="B58" t="s">
        <v>27</v>
      </c>
      <c r="C58" s="2">
        <v>2.5</v>
      </c>
      <c r="D58" s="2">
        <v>1.43713</v>
      </c>
      <c r="F58" s="2">
        <v>1.46075</v>
      </c>
      <c r="G58" s="6">
        <v>-2.3622799999999999E-2</v>
      </c>
    </row>
    <row r="59" spans="1:7" ht="12.75" x14ac:dyDescent="0.2">
      <c r="A59" t="s">
        <v>88</v>
      </c>
      <c r="B59" t="s">
        <v>27</v>
      </c>
      <c r="C59" s="2">
        <v>2.5</v>
      </c>
      <c r="D59" s="2">
        <v>1.4600500000000001</v>
      </c>
      <c r="F59" s="2">
        <v>1.46075</v>
      </c>
      <c r="G59" s="7">
        <v>-7.0275299999999997E-4</v>
      </c>
    </row>
    <row r="60" spans="1:7" ht="12.75" x14ac:dyDescent="0.2">
      <c r="A60" t="s">
        <v>80</v>
      </c>
      <c r="B60" t="s">
        <v>22</v>
      </c>
      <c r="C60" s="2">
        <v>1</v>
      </c>
      <c r="D60" s="2">
        <v>1.7738</v>
      </c>
      <c r="E60" s="4">
        <v>0.30456100000000003</v>
      </c>
      <c r="F60" s="2">
        <v>1.77197</v>
      </c>
      <c r="G60" s="5">
        <v>1.8349200000000001E-3</v>
      </c>
    </row>
    <row r="61" spans="1:7" ht="12.75" x14ac:dyDescent="0.2">
      <c r="A61" t="s">
        <v>89</v>
      </c>
      <c r="B61" t="s">
        <v>22</v>
      </c>
      <c r="C61" s="2">
        <v>1</v>
      </c>
      <c r="D61" s="2">
        <v>1.77762</v>
      </c>
      <c r="F61" s="2">
        <v>1.77197</v>
      </c>
      <c r="G61" s="5">
        <v>5.6549199999999999E-3</v>
      </c>
    </row>
    <row r="62" spans="1:7" ht="12.75" x14ac:dyDescent="0.2">
      <c r="A62" t="s">
        <v>90</v>
      </c>
      <c r="B62" t="s">
        <v>22</v>
      </c>
      <c r="C62" s="2">
        <v>1</v>
      </c>
      <c r="D62" s="2">
        <v>1.7699800000000001</v>
      </c>
      <c r="F62" s="2">
        <v>1.77197</v>
      </c>
      <c r="G62" s="5">
        <v>-1.9850800000000002E-3</v>
      </c>
    </row>
    <row r="63" spans="1:7" ht="12.75" x14ac:dyDescent="0.2">
      <c r="A63" t="s">
        <v>80</v>
      </c>
      <c r="B63" t="s">
        <v>17</v>
      </c>
      <c r="C63" s="8">
        <v>0</v>
      </c>
      <c r="D63" s="2">
        <v>2.1029900000000001</v>
      </c>
      <c r="E63" s="2">
        <v>1.46634</v>
      </c>
      <c r="F63" s="2">
        <v>2.1026500000000001</v>
      </c>
      <c r="G63" s="7">
        <v>3.3662600000000003E-4</v>
      </c>
    </row>
    <row r="64" spans="1:7" ht="12.75" x14ac:dyDescent="0.2">
      <c r="A64" t="s">
        <v>91</v>
      </c>
      <c r="B64" t="s">
        <v>17</v>
      </c>
      <c r="C64" s="8">
        <v>0</v>
      </c>
      <c r="D64" s="2">
        <v>2.0811799999999998</v>
      </c>
      <c r="F64" s="2">
        <v>2.1026500000000001</v>
      </c>
      <c r="G64" s="6">
        <v>-2.1468399999999999E-2</v>
      </c>
    </row>
    <row r="65" spans="1:13" ht="12.75" x14ac:dyDescent="0.2">
      <c r="A65" t="s">
        <v>92</v>
      </c>
      <c r="B65" t="s">
        <v>17</v>
      </c>
      <c r="C65" s="8">
        <v>0</v>
      </c>
      <c r="D65" s="2">
        <v>2.12479</v>
      </c>
      <c r="F65" s="2">
        <v>2.1026500000000001</v>
      </c>
      <c r="G65" s="6">
        <v>2.2141600000000001E-2</v>
      </c>
    </row>
    <row r="66" spans="1:13" ht="12.75" x14ac:dyDescent="0.2"/>
    <row r="67" spans="1:13" ht="12.75" x14ac:dyDescent="0.2"/>
    <row r="68" spans="1:13" ht="12.75" x14ac:dyDescent="0.2">
      <c r="A68" t="s">
        <v>6</v>
      </c>
    </row>
    <row r="69" spans="1:13" ht="12.75" x14ac:dyDescent="0.2">
      <c r="A69" t="s">
        <v>3</v>
      </c>
    </row>
    <row r="70" spans="1:13" ht="12.75" x14ac:dyDescent="0.2">
      <c r="A70" s="20" t="s">
        <v>93</v>
      </c>
      <c r="B70" s="22">
        <v>1</v>
      </c>
      <c r="C70" s="22">
        <v>2</v>
      </c>
      <c r="D70" s="31">
        <v>3</v>
      </c>
      <c r="E70" s="31">
        <v>4</v>
      </c>
      <c r="F70" s="22">
        <v>5</v>
      </c>
      <c r="G70" s="22">
        <v>6</v>
      </c>
      <c r="H70" s="1"/>
      <c r="I70" s="1"/>
      <c r="J70" s="1"/>
      <c r="K70" s="1"/>
      <c r="L70" s="1"/>
      <c r="M70" s="1"/>
    </row>
    <row r="71" spans="1:13" ht="12.75" x14ac:dyDescent="0.2">
      <c r="A71" s="20" t="s">
        <v>8</v>
      </c>
      <c r="B71" s="26">
        <v>2.0811799999999998</v>
      </c>
      <c r="C71" s="26">
        <v>2.12479</v>
      </c>
      <c r="D71" s="36">
        <v>0.49305300000000002</v>
      </c>
      <c r="E71" s="36">
        <v>0.27719300000000002</v>
      </c>
      <c r="F71" s="26">
        <v>2.1669900000000002</v>
      </c>
      <c r="G71" s="26">
        <v>1.8458000000000001</v>
      </c>
    </row>
    <row r="72" spans="1:13" ht="12.75" x14ac:dyDescent="0.2">
      <c r="A72" s="20" t="s">
        <v>9</v>
      </c>
      <c r="B72" s="26">
        <v>1.77762</v>
      </c>
      <c r="C72" s="26">
        <v>1.7699800000000001</v>
      </c>
      <c r="D72" s="36">
        <v>0.64277399999999996</v>
      </c>
      <c r="E72" s="36">
        <v>0.51524700000000001</v>
      </c>
      <c r="F72" s="26">
        <v>1.9492100000000001</v>
      </c>
      <c r="G72" s="26">
        <v>1.76779</v>
      </c>
    </row>
    <row r="73" spans="1:13" ht="12.75" x14ac:dyDescent="0.2">
      <c r="A73" s="20" t="s">
        <v>10</v>
      </c>
      <c r="B73" s="26">
        <v>1.43713</v>
      </c>
      <c r="C73" s="26">
        <v>1.4600500000000001</v>
      </c>
      <c r="D73" s="36">
        <v>0.69476000000000004</v>
      </c>
      <c r="E73" s="37">
        <v>1.28017</v>
      </c>
      <c r="F73" s="26">
        <v>1.02138</v>
      </c>
      <c r="G73" s="26">
        <v>1.00606</v>
      </c>
    </row>
    <row r="74" spans="1:13" ht="12.75" x14ac:dyDescent="0.2">
      <c r="A74" s="20" t="s">
        <v>11</v>
      </c>
      <c r="B74" s="26">
        <v>1.19817</v>
      </c>
      <c r="C74" s="26">
        <v>1.1816500000000001</v>
      </c>
      <c r="D74" s="37">
        <v>1.09005</v>
      </c>
      <c r="E74" s="37">
        <v>1.8201000000000001</v>
      </c>
      <c r="F74" s="26">
        <v>1.4082300000000001</v>
      </c>
      <c r="G74" s="26">
        <v>1.3238399999999999</v>
      </c>
    </row>
    <row r="75" spans="1:13" ht="12.75" x14ac:dyDescent="0.2">
      <c r="A75" s="20" t="s">
        <v>12</v>
      </c>
      <c r="B75" s="25">
        <v>0.88628499999999999</v>
      </c>
      <c r="C75" s="25">
        <v>0.86203099999999999</v>
      </c>
      <c r="D75" s="37">
        <v>1.1245499999999999</v>
      </c>
      <c r="E75" s="37">
        <v>1.8462799999999999</v>
      </c>
      <c r="F75" s="26">
        <v>1.2913300000000001</v>
      </c>
      <c r="G75" s="26">
        <v>1.2693300000000001</v>
      </c>
    </row>
    <row r="76" spans="1:13" ht="12.75" x14ac:dyDescent="0.2">
      <c r="A76" s="20" t="s">
        <v>13</v>
      </c>
      <c r="B76" s="25">
        <v>0.650868</v>
      </c>
      <c r="C76" s="25">
        <v>0.61914999999999998</v>
      </c>
      <c r="D76" s="36">
        <v>0.73693600000000004</v>
      </c>
      <c r="E76" s="36">
        <v>0.50136199999999997</v>
      </c>
      <c r="F76" s="26">
        <v>1.2593799999999999</v>
      </c>
      <c r="G76" s="26">
        <v>1.2836000000000001</v>
      </c>
    </row>
    <row r="77" spans="1:13" ht="12.75" x14ac:dyDescent="0.2">
      <c r="A77" s="20" t="s">
        <v>14</v>
      </c>
      <c r="B77" s="25">
        <v>0.206317</v>
      </c>
      <c r="C77" s="25">
        <v>0.19830600000000001</v>
      </c>
      <c r="D77" s="36">
        <v>0.74769399999999997</v>
      </c>
      <c r="E77" s="36">
        <v>0.76711799999999997</v>
      </c>
      <c r="F77" s="26">
        <v>1.26745</v>
      </c>
      <c r="G77" s="26">
        <v>1.16849</v>
      </c>
    </row>
    <row r="78" spans="1:13" ht="12.75" x14ac:dyDescent="0.2">
      <c r="A78" s="20" t="s">
        <v>15</v>
      </c>
      <c r="B78" s="20"/>
      <c r="C78" s="25">
        <v>0.298016</v>
      </c>
      <c r="D78" s="36">
        <v>0.88957200000000003</v>
      </c>
      <c r="E78" s="37">
        <v>1.5767500000000001</v>
      </c>
      <c r="F78" s="26">
        <v>1.27128</v>
      </c>
      <c r="G78" s="26">
        <v>1.22183</v>
      </c>
    </row>
    <row r="79" spans="1:13" ht="12.75" x14ac:dyDescent="0.2">
      <c r="D79" s="45"/>
      <c r="E79" s="45"/>
    </row>
    <row r="80" spans="1:13" ht="12.75" x14ac:dyDescent="0.2">
      <c r="A80" s="20" t="s">
        <v>75</v>
      </c>
      <c r="B80" s="22">
        <v>1</v>
      </c>
      <c r="C80" s="22">
        <v>2</v>
      </c>
      <c r="D80" s="31">
        <v>3</v>
      </c>
      <c r="E80" s="31">
        <v>4</v>
      </c>
      <c r="F80" s="22">
        <v>5</v>
      </c>
      <c r="G80" s="22">
        <v>6</v>
      </c>
      <c r="H80" s="1"/>
      <c r="I80" s="1"/>
      <c r="J80" s="1"/>
      <c r="K80" s="1"/>
      <c r="L80" s="1"/>
      <c r="M80" s="1"/>
    </row>
    <row r="81" spans="1:13" ht="12.75" x14ac:dyDescent="0.2">
      <c r="A81" s="20" t="s">
        <v>8</v>
      </c>
      <c r="B81" s="24">
        <v>5.3228999999999999E-2</v>
      </c>
      <c r="C81" s="20" t="s">
        <v>94</v>
      </c>
      <c r="D81" s="32" t="s">
        <v>95</v>
      </c>
      <c r="E81" s="32" t="s">
        <v>95</v>
      </c>
      <c r="F81" s="20" t="s">
        <v>94</v>
      </c>
      <c r="G81" s="25">
        <v>0.73768999999999996</v>
      </c>
    </row>
    <row r="82" spans="1:13" ht="12.75" x14ac:dyDescent="0.2">
      <c r="A82" s="20" t="s">
        <v>9</v>
      </c>
      <c r="B82" s="25">
        <v>0.97892999999999997</v>
      </c>
      <c r="C82" s="26">
        <v>1.0074399999999999</v>
      </c>
      <c r="D82" s="38">
        <v>23.5868</v>
      </c>
      <c r="E82" s="32" t="s">
        <v>95</v>
      </c>
      <c r="F82" s="25">
        <v>0.41178500000000001</v>
      </c>
      <c r="G82" s="26">
        <v>1.0156700000000001</v>
      </c>
    </row>
    <row r="83" spans="1:13" ht="12.75" x14ac:dyDescent="0.2">
      <c r="A83" s="20" t="s">
        <v>10</v>
      </c>
      <c r="B83" s="26">
        <v>2.6499899999999998</v>
      </c>
      <c r="C83" s="26">
        <v>2.5043700000000002</v>
      </c>
      <c r="D83" s="38">
        <v>18.9498</v>
      </c>
      <c r="E83" s="37">
        <v>3.8471099999999998</v>
      </c>
      <c r="F83" s="26">
        <v>7.1061300000000003</v>
      </c>
      <c r="G83" s="26">
        <v>7.3839499999999996</v>
      </c>
    </row>
    <row r="84" spans="1:13" ht="12.75" x14ac:dyDescent="0.2">
      <c r="A84" s="20" t="s">
        <v>11</v>
      </c>
      <c r="B84" s="26">
        <v>4.6558000000000002</v>
      </c>
      <c r="C84" s="26">
        <v>4.8388200000000001</v>
      </c>
      <c r="D84" s="37">
        <v>6.0087900000000003</v>
      </c>
      <c r="E84" s="36">
        <v>0.82594199999999995</v>
      </c>
      <c r="F84" s="26">
        <v>2.8428900000000001</v>
      </c>
      <c r="G84" s="26">
        <v>3.4739499999999999</v>
      </c>
    </row>
    <row r="85" spans="1:13" ht="12.75" x14ac:dyDescent="0.2">
      <c r="A85" s="20" t="s">
        <v>12</v>
      </c>
      <c r="B85" s="23">
        <v>10.1393</v>
      </c>
      <c r="C85" s="23">
        <v>10.8651</v>
      </c>
      <c r="D85" s="37">
        <v>5.5342000000000002</v>
      </c>
      <c r="E85" s="36">
        <v>0.73607199999999995</v>
      </c>
      <c r="F85" s="26">
        <v>3.7483399999999998</v>
      </c>
      <c r="G85" s="26">
        <v>3.94543</v>
      </c>
    </row>
    <row r="86" spans="1:13" ht="12.75" x14ac:dyDescent="0.2">
      <c r="A86" s="20" t="s">
        <v>13</v>
      </c>
      <c r="B86" s="23">
        <v>22.746300000000002</v>
      </c>
      <c r="C86" s="23">
        <v>26.37</v>
      </c>
      <c r="D86" s="38">
        <v>16.190000000000001</v>
      </c>
      <c r="E86" s="32" t="s">
        <v>95</v>
      </c>
      <c r="F86" s="26">
        <v>4.03782</v>
      </c>
      <c r="G86" s="26">
        <v>3.8164899999999999</v>
      </c>
    </row>
    <row r="87" spans="1:13" ht="12.75" x14ac:dyDescent="0.2">
      <c r="A87" s="20" t="s">
        <v>14</v>
      </c>
      <c r="B87" s="20" t="s">
        <v>95</v>
      </c>
      <c r="C87" s="20" t="s">
        <v>95</v>
      </c>
      <c r="D87" s="38">
        <v>15.5883</v>
      </c>
      <c r="E87" s="38">
        <v>14.5875</v>
      </c>
      <c r="F87" s="26">
        <v>3.9627300000000001</v>
      </c>
      <c r="G87" s="26">
        <v>4.9901200000000001</v>
      </c>
    </row>
    <row r="88" spans="1:13" ht="12.75" x14ac:dyDescent="0.2">
      <c r="A88" s="20" t="s">
        <v>15</v>
      </c>
      <c r="B88" s="20"/>
      <c r="C88" s="20" t="s">
        <v>95</v>
      </c>
      <c r="D88" s="38">
        <v>10.0463</v>
      </c>
      <c r="E88" s="37">
        <v>1.8495699999999999</v>
      </c>
      <c r="F88" s="26">
        <v>3.9275699999999998</v>
      </c>
      <c r="G88" s="26">
        <v>4.4062400000000004</v>
      </c>
    </row>
    <row r="89" spans="1:13" ht="12.75" x14ac:dyDescent="0.2"/>
    <row r="90" spans="1:13" ht="12.75" x14ac:dyDescent="0.2">
      <c r="A90" s="20" t="s">
        <v>16</v>
      </c>
      <c r="B90" s="22">
        <v>1</v>
      </c>
      <c r="C90" s="22">
        <v>2</v>
      </c>
      <c r="D90" s="22">
        <v>3</v>
      </c>
      <c r="E90" s="22">
        <v>4</v>
      </c>
      <c r="F90" s="22">
        <v>5</v>
      </c>
      <c r="G90" s="22">
        <v>6</v>
      </c>
      <c r="H90" s="1"/>
      <c r="I90" s="1"/>
      <c r="J90" s="1"/>
      <c r="K90" s="1"/>
      <c r="L90" s="1"/>
      <c r="M90" s="1"/>
    </row>
    <row r="91" spans="1:13" ht="12.75" x14ac:dyDescent="0.2">
      <c r="A91" s="20" t="s">
        <v>8</v>
      </c>
      <c r="B91" s="20" t="s">
        <v>226</v>
      </c>
      <c r="C91" s="20" t="s">
        <v>226</v>
      </c>
      <c r="D91" s="20" t="s">
        <v>215</v>
      </c>
      <c r="E91" s="20" t="s">
        <v>215</v>
      </c>
      <c r="F91" s="20" t="s">
        <v>222</v>
      </c>
      <c r="G91" s="20" t="s">
        <v>222</v>
      </c>
    </row>
    <row r="92" spans="1:13" ht="12.75" x14ac:dyDescent="0.2">
      <c r="A92" s="20" t="s">
        <v>9</v>
      </c>
      <c r="B92" s="20" t="s">
        <v>225</v>
      </c>
      <c r="C92" s="20" t="s">
        <v>225</v>
      </c>
      <c r="D92" s="20" t="s">
        <v>214</v>
      </c>
      <c r="E92" s="20" t="s">
        <v>214</v>
      </c>
      <c r="F92" s="20" t="s">
        <v>223</v>
      </c>
      <c r="G92" s="20" t="s">
        <v>223</v>
      </c>
    </row>
    <row r="93" spans="1:13" ht="12.75" x14ac:dyDescent="0.2">
      <c r="A93" s="20" t="s">
        <v>10</v>
      </c>
      <c r="B93" s="20" t="s">
        <v>224</v>
      </c>
      <c r="C93" s="20" t="s">
        <v>224</v>
      </c>
      <c r="D93" s="20" t="s">
        <v>216</v>
      </c>
      <c r="E93" s="20" t="s">
        <v>216</v>
      </c>
      <c r="F93" s="21" t="s">
        <v>242</v>
      </c>
      <c r="G93" s="21" t="s">
        <v>242</v>
      </c>
    </row>
    <row r="94" spans="1:13" ht="12.75" x14ac:dyDescent="0.2">
      <c r="A94" s="20" t="s">
        <v>11</v>
      </c>
      <c r="B94" s="20" t="s">
        <v>227</v>
      </c>
      <c r="C94" s="20" t="s">
        <v>227</v>
      </c>
      <c r="D94" s="20" t="s">
        <v>217</v>
      </c>
      <c r="E94" s="20" t="s">
        <v>217</v>
      </c>
      <c r="F94" s="21" t="s">
        <v>243</v>
      </c>
      <c r="G94" s="21" t="s">
        <v>243</v>
      </c>
    </row>
    <row r="95" spans="1:13" ht="12.75" x14ac:dyDescent="0.2">
      <c r="A95" s="20" t="s">
        <v>12</v>
      </c>
      <c r="B95" s="20" t="s">
        <v>228</v>
      </c>
      <c r="C95" s="20" t="s">
        <v>228</v>
      </c>
      <c r="D95" s="20" t="s">
        <v>218</v>
      </c>
      <c r="E95" s="20" t="s">
        <v>218</v>
      </c>
      <c r="F95" s="21" t="s">
        <v>244</v>
      </c>
      <c r="G95" s="21" t="s">
        <v>244</v>
      </c>
    </row>
    <row r="96" spans="1:13" ht="12.75" x14ac:dyDescent="0.2">
      <c r="A96" s="20" t="s">
        <v>13</v>
      </c>
      <c r="B96" s="20" t="s">
        <v>229</v>
      </c>
      <c r="C96" s="20" t="s">
        <v>229</v>
      </c>
      <c r="D96" s="20" t="s">
        <v>220</v>
      </c>
      <c r="E96" s="20" t="s">
        <v>220</v>
      </c>
      <c r="F96" s="21" t="s">
        <v>245</v>
      </c>
      <c r="G96" s="21" t="s">
        <v>245</v>
      </c>
    </row>
    <row r="97" spans="1:7" ht="12.75" x14ac:dyDescent="0.2">
      <c r="A97" s="20" t="s">
        <v>14</v>
      </c>
      <c r="B97" s="21" t="s">
        <v>230</v>
      </c>
      <c r="C97" s="21" t="s">
        <v>230</v>
      </c>
      <c r="D97" s="20" t="s">
        <v>219</v>
      </c>
      <c r="E97" s="20" t="s">
        <v>219</v>
      </c>
      <c r="F97" s="21" t="s">
        <v>246</v>
      </c>
      <c r="G97" s="21" t="s">
        <v>246</v>
      </c>
    </row>
    <row r="98" spans="1:7" ht="12.75" x14ac:dyDescent="0.2">
      <c r="A98" s="20" t="s">
        <v>15</v>
      </c>
      <c r="B98" s="20" t="s">
        <v>53</v>
      </c>
      <c r="C98" s="21" t="s">
        <v>231</v>
      </c>
      <c r="D98" s="20" t="s">
        <v>221</v>
      </c>
      <c r="E98" s="20" t="s">
        <v>221</v>
      </c>
      <c r="F98" s="21" t="s">
        <v>247</v>
      </c>
      <c r="G98" s="21" t="s">
        <v>247</v>
      </c>
    </row>
    <row r="100" spans="1:7" ht="12.75" x14ac:dyDescent="0.2">
      <c r="A100" t="s">
        <v>96</v>
      </c>
    </row>
    <row r="102" spans="1:7" ht="15" customHeight="1" x14ac:dyDescent="0.2">
      <c r="E102" s="43" t="s">
        <v>253</v>
      </c>
      <c r="F102" s="43"/>
    </row>
    <row r="103" spans="1:7" ht="15" customHeight="1" x14ac:dyDescent="0.2">
      <c r="E103" s="44" t="s">
        <v>254</v>
      </c>
      <c r="F103" s="44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4"/>
  <sheetViews>
    <sheetView workbookViewId="0">
      <selection activeCell="Q37" sqref="Q37"/>
    </sheetView>
  </sheetViews>
  <sheetFormatPr defaultColWidth="9.140625" defaultRowHeight="15" customHeight="1" x14ac:dyDescent="0.2"/>
  <cols>
    <col min="1" max="1" width="6" customWidth="1"/>
    <col min="2" max="3" width="15.5703125" customWidth="1"/>
    <col min="4" max="5" width="11.7109375" customWidth="1"/>
    <col min="6" max="7" width="18.710937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97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20" t="s">
        <v>98</v>
      </c>
      <c r="B13" s="22">
        <v>1</v>
      </c>
      <c r="C13" s="22">
        <v>2</v>
      </c>
      <c r="D13" s="31">
        <v>3</v>
      </c>
      <c r="E13" s="31">
        <v>4</v>
      </c>
      <c r="F13" s="22">
        <v>5</v>
      </c>
      <c r="G13" s="22">
        <v>6</v>
      </c>
      <c r="H13" s="1"/>
      <c r="I13" s="1"/>
      <c r="J13" s="1"/>
      <c r="K13" s="1"/>
      <c r="L13" s="1"/>
      <c r="M13" s="1"/>
    </row>
    <row r="14" spans="1:13" ht="15" customHeight="1" x14ac:dyDescent="0.2">
      <c r="A14" s="20" t="s">
        <v>8</v>
      </c>
      <c r="B14" s="26">
        <v>2.0108100000000002</v>
      </c>
      <c r="C14" s="26">
        <v>2.0544199999999999</v>
      </c>
      <c r="D14" s="36">
        <v>0.422684</v>
      </c>
      <c r="E14" s="36">
        <v>0.20682400000000001</v>
      </c>
      <c r="F14" s="26">
        <v>2.0966200000000002</v>
      </c>
      <c r="G14" s="26">
        <v>1.7754300000000001</v>
      </c>
    </row>
    <row r="15" spans="1:13" ht="15" customHeight="1" x14ac:dyDescent="0.2">
      <c r="A15" s="20" t="s">
        <v>9</v>
      </c>
      <c r="B15" s="26">
        <v>1.7072499999999999</v>
      </c>
      <c r="C15" s="26">
        <v>1.6996100000000001</v>
      </c>
      <c r="D15" s="36">
        <v>0.57240500000000005</v>
      </c>
      <c r="E15" s="36">
        <v>0.444878</v>
      </c>
      <c r="F15" s="26">
        <v>1.8788400000000001</v>
      </c>
      <c r="G15" s="26">
        <v>1.6974199999999999</v>
      </c>
    </row>
    <row r="16" spans="1:13" ht="15" customHeight="1" x14ac:dyDescent="0.2">
      <c r="A16" s="20" t="s">
        <v>10</v>
      </c>
      <c r="B16" s="26">
        <v>1.36676</v>
      </c>
      <c r="C16" s="26">
        <v>1.38968</v>
      </c>
      <c r="D16" s="36">
        <v>0.62439100000000003</v>
      </c>
      <c r="E16" s="37">
        <v>1.2098</v>
      </c>
      <c r="F16" s="25">
        <v>0.95101100000000005</v>
      </c>
      <c r="G16" s="25">
        <v>0.93569100000000005</v>
      </c>
    </row>
    <row r="17" spans="1:13" ht="15" customHeight="1" x14ac:dyDescent="0.2">
      <c r="A17" s="20" t="s">
        <v>11</v>
      </c>
      <c r="B17" s="26">
        <v>1.1277999999999999</v>
      </c>
      <c r="C17" s="26">
        <v>1.11128</v>
      </c>
      <c r="D17" s="37">
        <v>1.0196799999999999</v>
      </c>
      <c r="E17" s="37">
        <v>1.74973</v>
      </c>
      <c r="F17" s="26">
        <v>1.33786</v>
      </c>
      <c r="G17" s="26">
        <v>1.2534700000000001</v>
      </c>
    </row>
    <row r="18" spans="1:13" ht="15" customHeight="1" x14ac:dyDescent="0.2">
      <c r="A18" s="20" t="s">
        <v>12</v>
      </c>
      <c r="B18" s="25">
        <v>0.81591599999999997</v>
      </c>
      <c r="C18" s="25">
        <v>0.79166199999999998</v>
      </c>
      <c r="D18" s="37">
        <v>1.0541799999999999</v>
      </c>
      <c r="E18" s="37">
        <v>1.7759100000000001</v>
      </c>
      <c r="F18" s="26">
        <v>1.22096</v>
      </c>
      <c r="G18" s="26">
        <v>1.19896</v>
      </c>
    </row>
    <row r="19" spans="1:13" ht="15" customHeight="1" x14ac:dyDescent="0.2">
      <c r="A19" s="20" t="s">
        <v>13</v>
      </c>
      <c r="B19" s="25">
        <v>0.58049899999999999</v>
      </c>
      <c r="C19" s="25">
        <v>0.54878099999999996</v>
      </c>
      <c r="D19" s="36">
        <v>0.66656700000000002</v>
      </c>
      <c r="E19" s="36">
        <v>0.43099300000000001</v>
      </c>
      <c r="F19" s="26">
        <v>1.1890099999999999</v>
      </c>
      <c r="G19" s="26">
        <v>1.21323</v>
      </c>
    </row>
    <row r="20" spans="1:13" ht="15" customHeight="1" x14ac:dyDescent="0.2">
      <c r="A20" s="20" t="s">
        <v>14</v>
      </c>
      <c r="B20" s="25">
        <v>0.13594800000000001</v>
      </c>
      <c r="C20" s="25">
        <v>0.127937</v>
      </c>
      <c r="D20" s="36">
        <v>0.67732499999999995</v>
      </c>
      <c r="E20" s="36">
        <v>0.69674899999999995</v>
      </c>
      <c r="F20" s="26">
        <v>1.1970799999999999</v>
      </c>
      <c r="G20" s="26">
        <v>1.09812</v>
      </c>
    </row>
    <row r="21" spans="1:13" ht="15" customHeight="1" x14ac:dyDescent="0.2">
      <c r="A21" s="20" t="s">
        <v>15</v>
      </c>
      <c r="B21" s="27">
        <v>0</v>
      </c>
      <c r="C21" s="25">
        <v>0.22764699999999999</v>
      </c>
      <c r="D21" s="36">
        <v>0.81920300000000001</v>
      </c>
      <c r="E21" s="37">
        <v>1.5063800000000001</v>
      </c>
      <c r="F21" s="26">
        <v>1.2009099999999999</v>
      </c>
      <c r="G21" s="26">
        <v>1.1514599999999999</v>
      </c>
    </row>
    <row r="23" spans="1:13" ht="15" customHeight="1" x14ac:dyDescent="0.2">
      <c r="A23" s="20" t="s">
        <v>16</v>
      </c>
      <c r="B23" s="22">
        <v>1</v>
      </c>
      <c r="C23" s="22">
        <v>2</v>
      </c>
      <c r="D23" s="31">
        <v>3</v>
      </c>
      <c r="E23" s="22">
        <v>4</v>
      </c>
      <c r="F23" s="22">
        <v>5</v>
      </c>
      <c r="G23" s="22">
        <v>6</v>
      </c>
      <c r="H23" s="1"/>
      <c r="I23" s="1"/>
      <c r="J23" s="1"/>
      <c r="K23" s="1"/>
      <c r="L23" s="1"/>
      <c r="M23" s="1"/>
    </row>
    <row r="24" spans="1:13" ht="15" customHeight="1" x14ac:dyDescent="0.2">
      <c r="A24" s="20" t="s">
        <v>8</v>
      </c>
      <c r="B24" s="20" t="s">
        <v>226</v>
      </c>
      <c r="C24" s="20" t="s">
        <v>226</v>
      </c>
      <c r="D24" s="32" t="s">
        <v>215</v>
      </c>
      <c r="E24" s="20" t="s">
        <v>215</v>
      </c>
      <c r="F24" s="20" t="s">
        <v>222</v>
      </c>
      <c r="G24" s="20" t="s">
        <v>222</v>
      </c>
    </row>
    <row r="25" spans="1:13" ht="15" customHeight="1" x14ac:dyDescent="0.2">
      <c r="A25" s="20" t="s">
        <v>9</v>
      </c>
      <c r="B25" s="20" t="s">
        <v>225</v>
      </c>
      <c r="C25" s="20" t="s">
        <v>225</v>
      </c>
      <c r="D25" s="32" t="s">
        <v>214</v>
      </c>
      <c r="E25" s="20" t="s">
        <v>214</v>
      </c>
      <c r="F25" s="20" t="s">
        <v>223</v>
      </c>
      <c r="G25" s="20" t="s">
        <v>223</v>
      </c>
    </row>
    <row r="26" spans="1:13" ht="15" customHeight="1" x14ac:dyDescent="0.2">
      <c r="A26" s="20" t="s">
        <v>10</v>
      </c>
      <c r="B26" s="20" t="s">
        <v>224</v>
      </c>
      <c r="C26" s="20" t="s">
        <v>224</v>
      </c>
      <c r="D26" s="32" t="s">
        <v>216</v>
      </c>
      <c r="E26" s="20" t="s">
        <v>216</v>
      </c>
      <c r="F26" s="21" t="s">
        <v>242</v>
      </c>
      <c r="G26" s="21" t="s">
        <v>242</v>
      </c>
    </row>
    <row r="27" spans="1:13" ht="15" customHeight="1" x14ac:dyDescent="0.2">
      <c r="A27" s="20" t="s">
        <v>11</v>
      </c>
      <c r="B27" s="20" t="s">
        <v>227</v>
      </c>
      <c r="C27" s="20" t="s">
        <v>227</v>
      </c>
      <c r="D27" s="32" t="s">
        <v>217</v>
      </c>
      <c r="E27" s="20" t="s">
        <v>217</v>
      </c>
      <c r="F27" s="21" t="s">
        <v>243</v>
      </c>
      <c r="G27" s="21" t="s">
        <v>243</v>
      </c>
    </row>
    <row r="28" spans="1:13" ht="15" customHeight="1" x14ac:dyDescent="0.2">
      <c r="A28" s="20" t="s">
        <v>12</v>
      </c>
      <c r="B28" s="20" t="s">
        <v>228</v>
      </c>
      <c r="C28" s="20" t="s">
        <v>228</v>
      </c>
      <c r="D28" s="32" t="s">
        <v>218</v>
      </c>
      <c r="E28" s="20" t="s">
        <v>218</v>
      </c>
      <c r="F28" s="21" t="s">
        <v>244</v>
      </c>
      <c r="G28" s="21" t="s">
        <v>244</v>
      </c>
    </row>
    <row r="29" spans="1:13" ht="15" customHeight="1" x14ac:dyDescent="0.2">
      <c r="A29" s="20" t="s">
        <v>13</v>
      </c>
      <c r="B29" s="20" t="s">
        <v>229</v>
      </c>
      <c r="C29" s="20" t="s">
        <v>229</v>
      </c>
      <c r="D29" s="32" t="s">
        <v>220</v>
      </c>
      <c r="E29" s="20" t="s">
        <v>220</v>
      </c>
      <c r="F29" s="21" t="s">
        <v>245</v>
      </c>
      <c r="G29" s="21" t="s">
        <v>245</v>
      </c>
    </row>
    <row r="30" spans="1:13" ht="15" customHeight="1" x14ac:dyDescent="0.2">
      <c r="A30" s="20" t="s">
        <v>14</v>
      </c>
      <c r="B30" s="21" t="s">
        <v>230</v>
      </c>
      <c r="C30" s="21" t="s">
        <v>230</v>
      </c>
      <c r="D30" s="32" t="s">
        <v>219</v>
      </c>
      <c r="E30" s="20" t="s">
        <v>219</v>
      </c>
      <c r="F30" s="21" t="s">
        <v>246</v>
      </c>
      <c r="G30" s="21" t="s">
        <v>246</v>
      </c>
    </row>
    <row r="31" spans="1:13" ht="15" customHeight="1" x14ac:dyDescent="0.2">
      <c r="A31" s="20" t="s">
        <v>15</v>
      </c>
      <c r="B31" s="20" t="s">
        <v>53</v>
      </c>
      <c r="C31" s="21" t="s">
        <v>231</v>
      </c>
      <c r="D31" s="32" t="s">
        <v>221</v>
      </c>
      <c r="E31" s="20" t="s">
        <v>221</v>
      </c>
      <c r="F31" s="21" t="s">
        <v>247</v>
      </c>
      <c r="G31" s="21" t="s">
        <v>247</v>
      </c>
    </row>
    <row r="33" spans="1:7" ht="15" customHeight="1" x14ac:dyDescent="0.2">
      <c r="A33" t="s">
        <v>99</v>
      </c>
      <c r="F33" s="43" t="s">
        <v>253</v>
      </c>
      <c r="G33" s="43"/>
    </row>
    <row r="34" spans="1:7" ht="15" customHeight="1" x14ac:dyDescent="0.2">
      <c r="F34" s="44" t="s">
        <v>254</v>
      </c>
      <c r="G34" s="4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Q103"/>
  <sheetViews>
    <sheetView topLeftCell="D66" workbookViewId="0">
      <selection activeCell="O98" sqref="O98"/>
    </sheetView>
  </sheetViews>
  <sheetFormatPr defaultColWidth="9.140625" defaultRowHeight="15" customHeight="1" x14ac:dyDescent="0.2"/>
  <cols>
    <col min="1" max="1" width="15.42578125" customWidth="1"/>
    <col min="2" max="3" width="16.140625" customWidth="1"/>
    <col min="4" max="5" width="11.42578125" customWidth="1"/>
    <col min="6" max="7" width="19" customWidth="1"/>
    <col min="8" max="8" width="4.140625" customWidth="1"/>
    <col min="9" max="9" width="20.42578125" customWidth="1"/>
    <col min="10" max="12" width="17.140625" customWidth="1"/>
    <col min="14" max="17" width="18.28515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100</v>
      </c>
    </row>
    <row r="7" spans="1:1" ht="15" customHeight="1" x14ac:dyDescent="0.2">
      <c r="A7" t="s">
        <v>61</v>
      </c>
    </row>
    <row r="8" spans="1:1" ht="15" customHeight="1" x14ac:dyDescent="0.2">
      <c r="A8" t="s">
        <v>62</v>
      </c>
    </row>
    <row r="9" spans="1:1" ht="15" customHeight="1" x14ac:dyDescent="0.2">
      <c r="A9" t="s">
        <v>63</v>
      </c>
    </row>
    <row r="10" spans="1:1" ht="15" customHeight="1" x14ac:dyDescent="0.2">
      <c r="A10" t="s">
        <v>5</v>
      </c>
    </row>
    <row r="11" spans="1:1" ht="15" customHeight="1" x14ac:dyDescent="0.2">
      <c r="A11" t="s">
        <v>64</v>
      </c>
    </row>
    <row r="12" spans="1:1" ht="15" customHeight="1" x14ac:dyDescent="0.2">
      <c r="A12" t="s">
        <v>65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101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2">
        <v>0.31324999999999997</v>
      </c>
    </row>
    <row r="41" spans="1:7" ht="12.75" x14ac:dyDescent="0.2">
      <c r="A41" t="s">
        <v>70</v>
      </c>
      <c r="B41" s="2">
        <v>-1.0008600000000001</v>
      </c>
    </row>
    <row r="42" spans="1:7" ht="12.75" x14ac:dyDescent="0.2">
      <c r="A42" t="s">
        <v>71</v>
      </c>
      <c r="B42" s="2">
        <v>4.1932700000000001</v>
      </c>
    </row>
    <row r="43" spans="1:7" ht="12.75" x14ac:dyDescent="0.2">
      <c r="A43" t="s">
        <v>72</v>
      </c>
      <c r="B43" s="2">
        <v>2.0322800000000001</v>
      </c>
    </row>
    <row r="44" spans="1:7" ht="12.75" x14ac:dyDescent="0.2"/>
    <row r="45" spans="1:7" ht="12.75" x14ac:dyDescent="0.2">
      <c r="A45" t="s">
        <v>73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75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42</v>
      </c>
      <c r="C48" s="3">
        <v>25</v>
      </c>
      <c r="D48" s="4">
        <v>0.56464000000000003</v>
      </c>
      <c r="E48" s="2">
        <v>3.9720900000000001</v>
      </c>
      <c r="F48" s="4">
        <v>0.55984599999999995</v>
      </c>
      <c r="G48" s="5">
        <v>4.7936999999999997E-3</v>
      </c>
    </row>
    <row r="49" spans="1:7" ht="12.75" x14ac:dyDescent="0.2">
      <c r="A49" t="s">
        <v>81</v>
      </c>
      <c r="B49" t="s">
        <v>42</v>
      </c>
      <c r="C49" s="3">
        <v>25</v>
      </c>
      <c r="D49" s="4">
        <v>0.58049899999999999</v>
      </c>
      <c r="F49" s="4">
        <v>0.55984599999999995</v>
      </c>
      <c r="G49" s="6">
        <v>2.06527E-2</v>
      </c>
    </row>
    <row r="50" spans="1:7" ht="12.75" x14ac:dyDescent="0.2">
      <c r="A50" t="s">
        <v>82</v>
      </c>
      <c r="B50" t="s">
        <v>42</v>
      </c>
      <c r="C50" s="3">
        <v>25</v>
      </c>
      <c r="D50" s="4">
        <v>0.54878099999999996</v>
      </c>
      <c r="F50" s="4">
        <v>0.55984599999999995</v>
      </c>
      <c r="G50" s="6">
        <v>-1.10653E-2</v>
      </c>
    </row>
    <row r="51" spans="1:7" ht="12.75" x14ac:dyDescent="0.2">
      <c r="A51" t="s">
        <v>80</v>
      </c>
      <c r="B51" t="s">
        <v>37</v>
      </c>
      <c r="C51" s="3">
        <v>10</v>
      </c>
      <c r="D51" s="4">
        <v>0.80378899999999998</v>
      </c>
      <c r="E51" s="2">
        <v>2.13367</v>
      </c>
      <c r="F51" s="4">
        <v>0.82085600000000003</v>
      </c>
      <c r="G51" s="6">
        <v>-1.7066899999999999E-2</v>
      </c>
    </row>
    <row r="52" spans="1:7" ht="12.75" x14ac:dyDescent="0.2">
      <c r="A52" t="s">
        <v>83</v>
      </c>
      <c r="B52" t="s">
        <v>37</v>
      </c>
      <c r="C52" s="3">
        <v>10</v>
      </c>
      <c r="D52" s="4">
        <v>0.81591599999999997</v>
      </c>
      <c r="F52" s="4">
        <v>0.82085600000000003</v>
      </c>
      <c r="G52" s="5">
        <v>-4.9398999999999997E-3</v>
      </c>
    </row>
    <row r="53" spans="1:7" ht="12.75" x14ac:dyDescent="0.2">
      <c r="A53" t="s">
        <v>84</v>
      </c>
      <c r="B53" t="s">
        <v>37</v>
      </c>
      <c r="C53" s="3">
        <v>10</v>
      </c>
      <c r="D53" s="4">
        <v>0.79166199999999998</v>
      </c>
      <c r="F53" s="4">
        <v>0.82085600000000003</v>
      </c>
      <c r="G53" s="6">
        <v>-2.9193899999999998E-2</v>
      </c>
    </row>
    <row r="54" spans="1:7" ht="12.75" x14ac:dyDescent="0.2">
      <c r="A54" t="s">
        <v>80</v>
      </c>
      <c r="B54" t="s">
        <v>32</v>
      </c>
      <c r="C54" s="2">
        <v>5</v>
      </c>
      <c r="D54" s="2">
        <v>1.11954</v>
      </c>
      <c r="E54" s="2">
        <v>1.0434099999999999</v>
      </c>
      <c r="F54" s="2">
        <v>1.09728</v>
      </c>
      <c r="G54" s="6">
        <v>2.22644E-2</v>
      </c>
    </row>
    <row r="55" spans="1:7" ht="12.75" x14ac:dyDescent="0.2">
      <c r="A55" t="s">
        <v>85</v>
      </c>
      <c r="B55" t="s">
        <v>32</v>
      </c>
      <c r="C55" s="2">
        <v>5</v>
      </c>
      <c r="D55" s="2">
        <v>1.1277999999999999</v>
      </c>
      <c r="F55" s="2">
        <v>1.09728</v>
      </c>
      <c r="G55" s="6">
        <v>3.05244E-2</v>
      </c>
    </row>
    <row r="56" spans="1:7" ht="12.75" x14ac:dyDescent="0.2">
      <c r="A56" t="s">
        <v>86</v>
      </c>
      <c r="B56" t="s">
        <v>32</v>
      </c>
      <c r="C56" s="2">
        <v>5</v>
      </c>
      <c r="D56" s="2">
        <v>1.11128</v>
      </c>
      <c r="F56" s="2">
        <v>1.09728</v>
      </c>
      <c r="G56" s="6">
        <v>1.40044E-2</v>
      </c>
    </row>
    <row r="57" spans="1:7" ht="12.75" x14ac:dyDescent="0.2">
      <c r="A57" t="s">
        <v>80</v>
      </c>
      <c r="B57" t="s">
        <v>27</v>
      </c>
      <c r="C57" s="2">
        <v>2.5</v>
      </c>
      <c r="D57" s="2">
        <v>1.37822</v>
      </c>
      <c r="E57" s="2">
        <v>1.1759299999999999</v>
      </c>
      <c r="F57" s="2">
        <v>1.3903799999999999</v>
      </c>
      <c r="G57" s="6">
        <v>-1.21628E-2</v>
      </c>
    </row>
    <row r="58" spans="1:7" ht="12.75" x14ac:dyDescent="0.2">
      <c r="A58" t="s">
        <v>87</v>
      </c>
      <c r="B58" t="s">
        <v>27</v>
      </c>
      <c r="C58" s="2">
        <v>2.5</v>
      </c>
      <c r="D58" s="2">
        <v>1.36676</v>
      </c>
      <c r="F58" s="2">
        <v>1.3903799999999999</v>
      </c>
      <c r="G58" s="6">
        <v>-2.3622799999999999E-2</v>
      </c>
    </row>
    <row r="59" spans="1:7" ht="12.75" x14ac:dyDescent="0.2">
      <c r="A59" t="s">
        <v>88</v>
      </c>
      <c r="B59" t="s">
        <v>27</v>
      </c>
      <c r="C59" s="2">
        <v>2.5</v>
      </c>
      <c r="D59" s="2">
        <v>1.38968</v>
      </c>
      <c r="F59" s="2">
        <v>1.3903799999999999</v>
      </c>
      <c r="G59" s="7">
        <v>-7.0275299999999997E-4</v>
      </c>
    </row>
    <row r="60" spans="1:7" ht="12.75" x14ac:dyDescent="0.2">
      <c r="A60" t="s">
        <v>80</v>
      </c>
      <c r="B60" t="s">
        <v>22</v>
      </c>
      <c r="C60" s="2">
        <v>1</v>
      </c>
      <c r="D60" s="2">
        <v>1.70343</v>
      </c>
      <c r="E60" s="4">
        <v>0.31714199999999998</v>
      </c>
      <c r="F60" s="2">
        <v>1.7016</v>
      </c>
      <c r="G60" s="5">
        <v>1.8349200000000001E-3</v>
      </c>
    </row>
    <row r="61" spans="1:7" ht="12.75" x14ac:dyDescent="0.2">
      <c r="A61" t="s">
        <v>89</v>
      </c>
      <c r="B61" t="s">
        <v>22</v>
      </c>
      <c r="C61" s="2">
        <v>1</v>
      </c>
      <c r="D61" s="2">
        <v>1.7072499999999999</v>
      </c>
      <c r="F61" s="2">
        <v>1.7016</v>
      </c>
      <c r="G61" s="5">
        <v>5.6549199999999999E-3</v>
      </c>
    </row>
    <row r="62" spans="1:7" ht="12.75" x14ac:dyDescent="0.2">
      <c r="A62" t="s">
        <v>90</v>
      </c>
      <c r="B62" t="s">
        <v>22</v>
      </c>
      <c r="C62" s="2">
        <v>1</v>
      </c>
      <c r="D62" s="2">
        <v>1.6996100000000001</v>
      </c>
      <c r="F62" s="2">
        <v>1.7016</v>
      </c>
      <c r="G62" s="5">
        <v>-1.9850800000000002E-3</v>
      </c>
    </row>
    <row r="63" spans="1:7" ht="12.75" x14ac:dyDescent="0.2">
      <c r="A63" t="s">
        <v>80</v>
      </c>
      <c r="B63" t="s">
        <v>17</v>
      </c>
      <c r="C63" s="8">
        <v>0</v>
      </c>
      <c r="D63" s="2">
        <v>2.0326200000000001</v>
      </c>
      <c r="E63" s="2">
        <v>1.51711</v>
      </c>
      <c r="F63" s="2">
        <v>2.0322800000000001</v>
      </c>
      <c r="G63" s="7">
        <v>3.3662600000000003E-4</v>
      </c>
    </row>
    <row r="64" spans="1:7" ht="12.75" x14ac:dyDescent="0.2">
      <c r="A64" t="s">
        <v>91</v>
      </c>
      <c r="B64" t="s">
        <v>17</v>
      </c>
      <c r="C64" s="8">
        <v>0</v>
      </c>
      <c r="D64" s="2">
        <v>2.0108100000000002</v>
      </c>
      <c r="F64" s="2">
        <v>2.0322800000000001</v>
      </c>
      <c r="G64" s="6">
        <v>-2.1468399999999999E-2</v>
      </c>
    </row>
    <row r="65" spans="1:12" ht="12.75" x14ac:dyDescent="0.2">
      <c r="A65" t="s">
        <v>92</v>
      </c>
      <c r="B65" t="s">
        <v>17</v>
      </c>
      <c r="C65" s="8">
        <v>0</v>
      </c>
      <c r="D65" s="2">
        <v>2.0544199999999999</v>
      </c>
      <c r="F65" s="2">
        <v>2.0322800000000001</v>
      </c>
      <c r="G65" s="6">
        <v>2.2141600000000001E-2</v>
      </c>
    </row>
    <row r="66" spans="1:12" ht="12.75" x14ac:dyDescent="0.2"/>
    <row r="67" spans="1:12" ht="12.75" x14ac:dyDescent="0.2"/>
    <row r="68" spans="1:12" ht="12.75" x14ac:dyDescent="0.2">
      <c r="A68" t="s">
        <v>6</v>
      </c>
    </row>
    <row r="69" spans="1:12" ht="12.75" x14ac:dyDescent="0.2">
      <c r="A69" t="s">
        <v>3</v>
      </c>
    </row>
    <row r="70" spans="1:12" ht="12.75" x14ac:dyDescent="0.2">
      <c r="A70" s="20" t="s">
        <v>93</v>
      </c>
      <c r="B70" s="22">
        <v>1</v>
      </c>
      <c r="C70" s="22">
        <v>2</v>
      </c>
      <c r="D70" s="31">
        <v>3</v>
      </c>
      <c r="E70" s="31">
        <v>4</v>
      </c>
      <c r="F70" s="22">
        <v>5</v>
      </c>
      <c r="G70" s="22">
        <v>6</v>
      </c>
      <c r="H70" s="1"/>
    </row>
    <row r="71" spans="1:12" ht="12.75" x14ac:dyDescent="0.2">
      <c r="A71" s="20" t="s">
        <v>8</v>
      </c>
      <c r="B71" s="26">
        <v>2.0108100000000002</v>
      </c>
      <c r="C71" s="26">
        <v>2.0544199999999999</v>
      </c>
      <c r="D71" s="36">
        <v>0.422684</v>
      </c>
      <c r="E71" s="36">
        <v>0.20682400000000001</v>
      </c>
      <c r="F71" s="26">
        <v>2.0966200000000002</v>
      </c>
      <c r="G71" s="26">
        <v>1.7754300000000001</v>
      </c>
    </row>
    <row r="72" spans="1:12" ht="12.75" x14ac:dyDescent="0.2">
      <c r="A72" s="20" t="s">
        <v>9</v>
      </c>
      <c r="B72" s="26">
        <v>1.7072499999999999</v>
      </c>
      <c r="C72" s="26">
        <v>1.6996100000000001</v>
      </c>
      <c r="D72" s="36">
        <v>0.57240500000000005</v>
      </c>
      <c r="E72" s="36">
        <v>0.444878</v>
      </c>
      <c r="F72" s="26">
        <v>1.8788400000000001</v>
      </c>
      <c r="G72" s="26">
        <v>1.6974199999999999</v>
      </c>
    </row>
    <row r="73" spans="1:12" ht="12.75" x14ac:dyDescent="0.2">
      <c r="A73" s="20" t="s">
        <v>10</v>
      </c>
      <c r="B73" s="26">
        <v>1.36676</v>
      </c>
      <c r="C73" s="26">
        <v>1.38968</v>
      </c>
      <c r="D73" s="36">
        <v>0.62439100000000003</v>
      </c>
      <c r="E73" s="37">
        <v>1.2098</v>
      </c>
      <c r="F73" s="25">
        <v>0.95101100000000005</v>
      </c>
      <c r="G73" s="25">
        <v>0.93569100000000005</v>
      </c>
    </row>
    <row r="74" spans="1:12" ht="12.75" x14ac:dyDescent="0.2">
      <c r="A74" s="20" t="s">
        <v>11</v>
      </c>
      <c r="B74" s="26">
        <v>1.1277999999999999</v>
      </c>
      <c r="C74" s="26">
        <v>1.11128</v>
      </c>
      <c r="D74" s="37">
        <v>1.0196799999999999</v>
      </c>
      <c r="E74" s="37">
        <v>1.74973</v>
      </c>
      <c r="F74" s="26">
        <v>1.33786</v>
      </c>
      <c r="G74" s="26">
        <v>1.2534700000000001</v>
      </c>
      <c r="I74" s="28"/>
      <c r="L74" s="28"/>
    </row>
    <row r="75" spans="1:12" ht="12.75" x14ac:dyDescent="0.2">
      <c r="A75" s="20" t="s">
        <v>12</v>
      </c>
      <c r="B75" s="25">
        <v>0.81591599999999997</v>
      </c>
      <c r="C75" s="25">
        <v>0.79166199999999998</v>
      </c>
      <c r="D75" s="37">
        <v>1.0541799999999999</v>
      </c>
      <c r="E75" s="37">
        <v>1.7759100000000001</v>
      </c>
      <c r="F75" s="26">
        <v>1.22096</v>
      </c>
      <c r="G75" s="26">
        <v>1.19896</v>
      </c>
      <c r="I75" s="28"/>
      <c r="J75" s="33" t="s">
        <v>232</v>
      </c>
      <c r="K75" s="33"/>
      <c r="L75" s="28"/>
    </row>
    <row r="76" spans="1:12" ht="12.75" x14ac:dyDescent="0.2">
      <c r="A76" s="20" t="s">
        <v>13</v>
      </c>
      <c r="B76" s="25">
        <v>0.58049899999999999</v>
      </c>
      <c r="C76" s="25">
        <v>0.54878099999999996</v>
      </c>
      <c r="D76" s="36">
        <v>0.66656700000000002</v>
      </c>
      <c r="E76" s="36">
        <v>0.43099300000000001</v>
      </c>
      <c r="F76" s="26">
        <v>1.1890099999999999</v>
      </c>
      <c r="G76" s="26">
        <v>1.21323</v>
      </c>
      <c r="I76" s="21" t="s">
        <v>233</v>
      </c>
      <c r="J76" s="21" t="s">
        <v>234</v>
      </c>
      <c r="K76" s="21" t="s">
        <v>235</v>
      </c>
      <c r="L76" s="21" t="s">
        <v>236</v>
      </c>
    </row>
    <row r="77" spans="1:12" ht="12.75" x14ac:dyDescent="0.2">
      <c r="A77" s="20" t="s">
        <v>14</v>
      </c>
      <c r="B77" s="25">
        <v>0.13594800000000001</v>
      </c>
      <c r="C77" s="25">
        <v>0.127937</v>
      </c>
      <c r="D77" s="36">
        <v>0.67732499999999995</v>
      </c>
      <c r="E77" s="36">
        <v>0.69674899999999995</v>
      </c>
      <c r="F77" s="26">
        <v>1.1970799999999999</v>
      </c>
      <c r="G77" s="26">
        <v>1.09812</v>
      </c>
      <c r="I77" s="21">
        <v>1</v>
      </c>
      <c r="J77" s="32" t="s">
        <v>95</v>
      </c>
      <c r="K77" s="21" t="e">
        <f>I77*J77</f>
        <v>#VALUE!</v>
      </c>
      <c r="L77" s="21"/>
    </row>
    <row r="78" spans="1:12" ht="12.75" x14ac:dyDescent="0.2">
      <c r="A78" s="20" t="s">
        <v>15</v>
      </c>
      <c r="B78" s="20"/>
      <c r="C78" s="25">
        <v>0.22764699999999999</v>
      </c>
      <c r="D78" s="36">
        <v>0.81920300000000001</v>
      </c>
      <c r="E78" s="37">
        <v>1.5063800000000001</v>
      </c>
      <c r="F78" s="26">
        <v>1.2009099999999999</v>
      </c>
      <c r="G78" s="26">
        <v>1.1514599999999999</v>
      </c>
      <c r="I78" s="21">
        <v>2</v>
      </c>
      <c r="J78" s="32">
        <v>23.5868</v>
      </c>
      <c r="K78" s="21">
        <f t="shared" ref="K78:K81" si="0">I78*J78</f>
        <v>47.1736</v>
      </c>
      <c r="L78" s="21"/>
    </row>
    <row r="79" spans="1:12" ht="12.75" x14ac:dyDescent="0.2">
      <c r="I79" s="21">
        <v>4</v>
      </c>
      <c r="J79" s="37">
        <v>11.398455</v>
      </c>
      <c r="K79" s="21">
        <f t="shared" si="0"/>
        <v>45.593820000000001</v>
      </c>
      <c r="L79" s="21"/>
    </row>
    <row r="80" spans="1:12" ht="12.75" x14ac:dyDescent="0.2">
      <c r="A80" s="20" t="s">
        <v>75</v>
      </c>
      <c r="B80" s="22">
        <v>1</v>
      </c>
      <c r="C80" s="22">
        <v>2</v>
      </c>
      <c r="D80" s="31">
        <v>3</v>
      </c>
      <c r="E80" s="31">
        <v>4</v>
      </c>
      <c r="F80" s="22">
        <v>5</v>
      </c>
      <c r="G80" s="22">
        <v>6</v>
      </c>
      <c r="H80" s="1"/>
      <c r="I80" s="21">
        <v>16</v>
      </c>
      <c r="J80" s="36">
        <v>3.4173660000000003</v>
      </c>
      <c r="K80" s="21">
        <f t="shared" si="0"/>
        <v>54.677856000000006</v>
      </c>
      <c r="L80" s="21"/>
    </row>
    <row r="81" spans="1:17" ht="12.75" x14ac:dyDescent="0.2">
      <c r="A81" s="20" t="s">
        <v>8</v>
      </c>
      <c r="B81" s="24">
        <v>5.3228999999999999E-2</v>
      </c>
      <c r="C81" s="20" t="s">
        <v>94</v>
      </c>
      <c r="D81" s="32" t="s">
        <v>95</v>
      </c>
      <c r="E81" s="32" t="s">
        <v>95</v>
      </c>
      <c r="F81" s="20" t="s">
        <v>94</v>
      </c>
      <c r="G81" s="25">
        <v>0.73768999999999996</v>
      </c>
      <c r="I81" s="21">
        <v>64</v>
      </c>
      <c r="J81" s="36">
        <v>3.1351360000000001</v>
      </c>
      <c r="K81" s="21">
        <f t="shared" si="0"/>
        <v>200.64870400000001</v>
      </c>
      <c r="L81" s="21"/>
    </row>
    <row r="82" spans="1:17" ht="12.75" x14ac:dyDescent="0.2">
      <c r="A82" s="20" t="s">
        <v>9</v>
      </c>
      <c r="B82" s="25">
        <v>0.97892999999999997</v>
      </c>
      <c r="C82" s="26">
        <v>1.0074399999999999</v>
      </c>
      <c r="D82" s="38">
        <v>23.5868</v>
      </c>
      <c r="E82" s="32" t="s">
        <v>95</v>
      </c>
      <c r="F82" s="25">
        <v>0.41178500000000001</v>
      </c>
      <c r="G82" s="26">
        <v>1.0156700000000001</v>
      </c>
      <c r="I82" s="28"/>
      <c r="J82" s="28"/>
      <c r="K82" s="28"/>
      <c r="L82" s="28"/>
    </row>
    <row r="83" spans="1:17" ht="12.75" x14ac:dyDescent="0.2">
      <c r="A83" s="20" t="s">
        <v>10</v>
      </c>
      <c r="B83" s="26">
        <v>2.6499899999999998</v>
      </c>
      <c r="C83" s="26">
        <v>2.5043700000000002</v>
      </c>
      <c r="D83" s="38">
        <v>18.9498</v>
      </c>
      <c r="E83" s="37">
        <v>3.8471099999999998</v>
      </c>
      <c r="F83" s="26">
        <v>7.1061300000000003</v>
      </c>
      <c r="G83" s="26">
        <v>7.3839499999999996</v>
      </c>
      <c r="I83" s="21"/>
      <c r="J83" s="21" t="s">
        <v>237</v>
      </c>
      <c r="K83" s="21" t="s">
        <v>238</v>
      </c>
      <c r="L83" s="21" t="s">
        <v>236</v>
      </c>
    </row>
    <row r="84" spans="1:17" ht="12.75" x14ac:dyDescent="0.2">
      <c r="A84" s="20" t="s">
        <v>11</v>
      </c>
      <c r="B84" s="26">
        <v>4.6558000000000002</v>
      </c>
      <c r="C84" s="26">
        <v>4.8388200000000001</v>
      </c>
      <c r="D84" s="37">
        <v>6.0087900000000003</v>
      </c>
      <c r="E84" s="36">
        <v>0.82594199999999995</v>
      </c>
      <c r="F84" s="26">
        <v>2.8428900000000001</v>
      </c>
      <c r="G84" s="26">
        <v>3.4739499999999999</v>
      </c>
      <c r="I84" s="21" t="s">
        <v>255</v>
      </c>
      <c r="J84" s="21" t="s">
        <v>239</v>
      </c>
      <c r="K84" s="21" t="s">
        <v>241</v>
      </c>
      <c r="L84" s="21" t="e">
        <f>(K84/J84)*100</f>
        <v>#VALUE!</v>
      </c>
      <c r="N84" s="40" t="s">
        <v>248</v>
      </c>
      <c r="O84" s="40"/>
      <c r="P84" s="40"/>
      <c r="Q84" s="40"/>
    </row>
    <row r="85" spans="1:17" ht="12.75" x14ac:dyDescent="0.2">
      <c r="A85" s="20" t="s">
        <v>12</v>
      </c>
      <c r="B85" s="23">
        <v>10.1393</v>
      </c>
      <c r="C85" s="23">
        <v>10.8651</v>
      </c>
      <c r="D85" s="37">
        <v>5.5342000000000002</v>
      </c>
      <c r="E85" s="36">
        <v>0.73607199999999995</v>
      </c>
      <c r="F85" s="26">
        <v>3.7483399999999998</v>
      </c>
      <c r="G85" s="26">
        <v>3.94543</v>
      </c>
      <c r="I85" s="46" t="s">
        <v>256</v>
      </c>
      <c r="J85" s="21">
        <v>13.577057445887446</v>
      </c>
      <c r="K85" s="21">
        <v>7.2450399999999995</v>
      </c>
      <c r="L85" s="21">
        <f t="shared" ref="L85:L87" si="1">(K85/J85)*100</f>
        <v>53.36237272970039</v>
      </c>
      <c r="N85" s="41" t="s">
        <v>249</v>
      </c>
      <c r="O85" s="41" t="s">
        <v>250</v>
      </c>
      <c r="P85" s="42" t="s">
        <v>251</v>
      </c>
      <c r="Q85" s="42" t="s">
        <v>252</v>
      </c>
    </row>
    <row r="86" spans="1:17" ht="12.75" x14ac:dyDescent="0.2">
      <c r="A86" s="20" t="s">
        <v>13</v>
      </c>
      <c r="B86" s="23">
        <v>22.746300000000002</v>
      </c>
      <c r="C86" s="23">
        <v>26.37</v>
      </c>
      <c r="D86" s="38">
        <v>16.190000000000001</v>
      </c>
      <c r="E86" s="32" t="s">
        <v>95</v>
      </c>
      <c r="F86" s="26">
        <v>4.03782</v>
      </c>
      <c r="G86" s="26">
        <v>3.8164899999999999</v>
      </c>
      <c r="I86" s="46" t="s">
        <v>257</v>
      </c>
      <c r="J86" s="21">
        <v>6.8743246926406929</v>
      </c>
      <c r="K86" s="21">
        <v>3.15842</v>
      </c>
      <c r="L86" s="21">
        <f t="shared" si="1"/>
        <v>45.945167579605979</v>
      </c>
      <c r="N86" s="41">
        <v>194</v>
      </c>
      <c r="O86" s="41">
        <v>37</v>
      </c>
      <c r="P86" s="41">
        <v>25</v>
      </c>
      <c r="Q86" s="41">
        <v>4</v>
      </c>
    </row>
    <row r="87" spans="1:17" ht="12.75" x14ac:dyDescent="0.2">
      <c r="A87" s="20" t="s">
        <v>14</v>
      </c>
      <c r="B87" s="20" t="s">
        <v>95</v>
      </c>
      <c r="C87" s="20" t="s">
        <v>95</v>
      </c>
      <c r="D87" s="38">
        <v>15.5883</v>
      </c>
      <c r="E87" s="38">
        <v>14.5875</v>
      </c>
      <c r="F87" s="26">
        <v>3.9627300000000001</v>
      </c>
      <c r="G87" s="26">
        <v>4.9901200000000001</v>
      </c>
      <c r="I87" s="46" t="s">
        <v>258</v>
      </c>
      <c r="J87" s="21">
        <v>6.6373003636363643</v>
      </c>
      <c r="K87" s="21">
        <v>3.8468849999999999</v>
      </c>
      <c r="L87" s="21">
        <f t="shared" si="1"/>
        <v>57.958579380795342</v>
      </c>
    </row>
    <row r="88" spans="1:17" ht="12.75" x14ac:dyDescent="0.2">
      <c r="A88" s="20" t="s">
        <v>15</v>
      </c>
      <c r="B88" s="20"/>
      <c r="C88" s="20" t="s">
        <v>95</v>
      </c>
      <c r="D88" s="38">
        <v>10.0463</v>
      </c>
      <c r="E88" s="37">
        <v>1.8495699999999999</v>
      </c>
      <c r="F88" s="26">
        <v>3.9275699999999998</v>
      </c>
      <c r="G88" s="26">
        <v>4.4062400000000004</v>
      </c>
      <c r="I88" s="28"/>
      <c r="J88" s="28"/>
      <c r="K88" s="28"/>
      <c r="L88" s="28"/>
    </row>
    <row r="89" spans="1:17" ht="12.75" x14ac:dyDescent="0.2">
      <c r="I89" s="28"/>
      <c r="L89" s="28"/>
    </row>
    <row r="90" spans="1:17" ht="12.75" x14ac:dyDescent="0.2">
      <c r="A90" s="20" t="s">
        <v>16</v>
      </c>
      <c r="B90" s="22">
        <v>1</v>
      </c>
      <c r="C90" s="22">
        <v>2</v>
      </c>
      <c r="D90" s="22">
        <v>3</v>
      </c>
      <c r="E90" s="22">
        <v>4</v>
      </c>
      <c r="F90" s="22">
        <v>5</v>
      </c>
      <c r="G90" s="22">
        <v>6</v>
      </c>
      <c r="H90" s="1"/>
      <c r="I90" s="28"/>
      <c r="J90" s="29" t="s">
        <v>240</v>
      </c>
      <c r="K90" s="29"/>
      <c r="L90" s="28"/>
    </row>
    <row r="91" spans="1:17" ht="12.75" x14ac:dyDescent="0.2">
      <c r="A91" s="20" t="s">
        <v>8</v>
      </c>
      <c r="B91" s="20" t="s">
        <v>226</v>
      </c>
      <c r="C91" s="20" t="s">
        <v>226</v>
      </c>
      <c r="D91" s="20" t="s">
        <v>215</v>
      </c>
      <c r="E91" s="20" t="s">
        <v>215</v>
      </c>
      <c r="F91" s="20" t="s">
        <v>222</v>
      </c>
      <c r="G91" s="20" t="s">
        <v>222</v>
      </c>
      <c r="I91" s="21" t="s">
        <v>233</v>
      </c>
      <c r="J91" s="21" t="s">
        <v>234</v>
      </c>
      <c r="K91" s="21" t="s">
        <v>235</v>
      </c>
      <c r="L91" s="21" t="s">
        <v>236</v>
      </c>
    </row>
    <row r="92" spans="1:17" ht="12.75" x14ac:dyDescent="0.2">
      <c r="A92" s="20" t="s">
        <v>9</v>
      </c>
      <c r="B92" s="20" t="s">
        <v>225</v>
      </c>
      <c r="C92" s="20" t="s">
        <v>225</v>
      </c>
      <c r="D92" s="20" t="s">
        <v>214</v>
      </c>
      <c r="E92" s="20" t="s">
        <v>214</v>
      </c>
      <c r="F92" s="20" t="s">
        <v>223</v>
      </c>
      <c r="G92" s="20" t="s">
        <v>223</v>
      </c>
      <c r="I92" s="21">
        <v>1</v>
      </c>
      <c r="J92" s="39" t="s">
        <v>95</v>
      </c>
      <c r="K92" s="21" t="e">
        <f>I92*J92</f>
        <v>#VALUE!</v>
      </c>
      <c r="L92" s="21"/>
    </row>
    <row r="93" spans="1:17" ht="12.75" x14ac:dyDescent="0.2">
      <c r="A93" s="20" t="s">
        <v>10</v>
      </c>
      <c r="B93" s="20" t="s">
        <v>224</v>
      </c>
      <c r="C93" s="20" t="s">
        <v>224</v>
      </c>
      <c r="D93" s="20" t="s">
        <v>216</v>
      </c>
      <c r="E93" s="20" t="s">
        <v>216</v>
      </c>
      <c r="F93" s="21" t="s">
        <v>242</v>
      </c>
      <c r="G93" s="21" t="s">
        <v>242</v>
      </c>
      <c r="I93" s="21">
        <v>2</v>
      </c>
      <c r="J93" s="39">
        <v>15.087900000000001</v>
      </c>
      <c r="K93" s="21">
        <f t="shared" ref="K93:K96" si="2">I93*J93</f>
        <v>30.175800000000002</v>
      </c>
      <c r="L93" s="21"/>
    </row>
    <row r="94" spans="1:17" ht="12.75" x14ac:dyDescent="0.2">
      <c r="A94" s="20" t="s">
        <v>11</v>
      </c>
      <c r="B94" s="20" t="s">
        <v>227</v>
      </c>
      <c r="C94" s="20" t="s">
        <v>227</v>
      </c>
      <c r="D94" s="20" t="s">
        <v>217</v>
      </c>
      <c r="E94" s="20" t="s">
        <v>217</v>
      </c>
      <c r="F94" s="21" t="s">
        <v>243</v>
      </c>
      <c r="G94" s="21" t="s">
        <v>243</v>
      </c>
      <c r="I94" s="21">
        <v>4</v>
      </c>
      <c r="J94" s="39">
        <v>5.9479350000000002</v>
      </c>
      <c r="K94" s="21">
        <f t="shared" si="2"/>
        <v>23.791740000000001</v>
      </c>
      <c r="L94" s="21"/>
    </row>
    <row r="95" spans="1:17" ht="12.75" x14ac:dyDescent="0.2">
      <c r="A95" s="20" t="s">
        <v>12</v>
      </c>
      <c r="B95" s="20" t="s">
        <v>228</v>
      </c>
      <c r="C95" s="20" t="s">
        <v>228</v>
      </c>
      <c r="D95" s="20" t="s">
        <v>218</v>
      </c>
      <c r="E95" s="20" t="s">
        <v>218</v>
      </c>
      <c r="F95" s="21" t="s">
        <v>244</v>
      </c>
      <c r="G95" s="21" t="s">
        <v>244</v>
      </c>
      <c r="I95" s="21">
        <v>16</v>
      </c>
      <c r="J95" s="21">
        <v>0.73768999999999996</v>
      </c>
      <c r="K95" s="21">
        <f t="shared" si="2"/>
        <v>11.803039999999999</v>
      </c>
      <c r="L95" s="21"/>
    </row>
    <row r="96" spans="1:17" ht="12.75" x14ac:dyDescent="0.2">
      <c r="A96" s="20" t="s">
        <v>13</v>
      </c>
      <c r="B96" s="20" t="s">
        <v>229</v>
      </c>
      <c r="C96" s="20" t="s">
        <v>229</v>
      </c>
      <c r="D96" s="20" t="s">
        <v>220</v>
      </c>
      <c r="E96" s="20" t="s">
        <v>220</v>
      </c>
      <c r="F96" s="21" t="s">
        <v>245</v>
      </c>
      <c r="G96" s="21" t="s">
        <v>245</v>
      </c>
      <c r="I96" s="21">
        <v>64</v>
      </c>
      <c r="J96" s="21">
        <v>0.71372750000000007</v>
      </c>
      <c r="K96" s="21">
        <f t="shared" si="2"/>
        <v>45.678560000000004</v>
      </c>
      <c r="L96" s="21"/>
    </row>
    <row r="97" spans="1:12" ht="12.75" x14ac:dyDescent="0.2">
      <c r="A97" s="20" t="s">
        <v>14</v>
      </c>
      <c r="B97" s="21" t="s">
        <v>230</v>
      </c>
      <c r="C97" s="21" t="s">
        <v>230</v>
      </c>
      <c r="D97" s="20" t="s">
        <v>219</v>
      </c>
      <c r="E97" s="20" t="s">
        <v>219</v>
      </c>
      <c r="F97" s="21" t="s">
        <v>246</v>
      </c>
      <c r="G97" s="21" t="s">
        <v>246</v>
      </c>
      <c r="I97" s="28"/>
      <c r="J97" s="28"/>
      <c r="K97" s="28"/>
      <c r="L97" s="28"/>
    </row>
    <row r="98" spans="1:12" ht="12.75" x14ac:dyDescent="0.2">
      <c r="A98" s="20" t="s">
        <v>15</v>
      </c>
      <c r="B98" s="20" t="s">
        <v>53</v>
      </c>
      <c r="C98" s="21" t="s">
        <v>231</v>
      </c>
      <c r="D98" s="20" t="s">
        <v>221</v>
      </c>
      <c r="E98" s="20" t="s">
        <v>221</v>
      </c>
      <c r="F98" s="21" t="s">
        <v>247</v>
      </c>
      <c r="G98" s="21" t="s">
        <v>247</v>
      </c>
      <c r="I98" s="21"/>
      <c r="J98" s="21" t="s">
        <v>237</v>
      </c>
      <c r="K98" s="21" t="s">
        <v>238</v>
      </c>
      <c r="L98" s="21" t="s">
        <v>236</v>
      </c>
    </row>
    <row r="99" spans="1:12" ht="15" customHeight="1" x14ac:dyDescent="0.2">
      <c r="I99" s="46" t="s">
        <v>259</v>
      </c>
      <c r="J99" s="21" t="s">
        <v>239</v>
      </c>
      <c r="K99" s="30" t="s">
        <v>241</v>
      </c>
      <c r="L99" s="21"/>
    </row>
    <row r="100" spans="1:12" ht="12.75" x14ac:dyDescent="0.2">
      <c r="A100" t="s">
        <v>96</v>
      </c>
      <c r="E100" s="43" t="s">
        <v>253</v>
      </c>
      <c r="F100" s="43"/>
      <c r="I100" s="46" t="s">
        <v>260</v>
      </c>
      <c r="J100" s="21">
        <v>8.9995644588744597</v>
      </c>
      <c r="K100" s="21">
        <v>3.927155</v>
      </c>
      <c r="L100" s="21">
        <f>(K100/J100)*100</f>
        <v>43.637167308996126</v>
      </c>
    </row>
    <row r="101" spans="1:12" ht="15" customHeight="1" x14ac:dyDescent="0.2">
      <c r="E101" s="44" t="s">
        <v>254</v>
      </c>
      <c r="F101" s="44"/>
      <c r="I101" s="46" t="s">
        <v>261</v>
      </c>
      <c r="J101" s="21">
        <v>4.6238608658008653</v>
      </c>
      <c r="K101" s="21">
        <v>4.4764249999999999</v>
      </c>
      <c r="L101" s="21">
        <f t="shared" ref="L101:L102" si="3">(K101/J101)*100</f>
        <v>96.811412149285573</v>
      </c>
    </row>
    <row r="102" spans="1:12" ht="15" customHeight="1" x14ac:dyDescent="0.2">
      <c r="I102" s="46" t="s">
        <v>262</v>
      </c>
      <c r="J102" s="21">
        <v>4.6037365151515148</v>
      </c>
      <c r="K102" s="21">
        <v>4.1669049999999999</v>
      </c>
      <c r="L102" s="21">
        <f t="shared" si="3"/>
        <v>90.511370194322723</v>
      </c>
    </row>
    <row r="103" spans="1:12" ht="15" customHeight="1" x14ac:dyDescent="0.2">
      <c r="C103" s="3"/>
    </row>
  </sheetData>
  <mergeCells count="2">
    <mergeCell ref="J75:K75"/>
    <mergeCell ref="N84:Q84"/>
  </mergeCells>
  <pageMargins left="0.75" right="0.75" top="1" bottom="1" header="0.5" footer="0.5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7EF0-285D-4AD7-A9C2-26D48AEF8667}">
  <dimension ref="A1:O101"/>
  <sheetViews>
    <sheetView tabSelected="1" topLeftCell="A61" workbookViewId="0">
      <selection activeCell="O74" sqref="O74"/>
    </sheetView>
  </sheetViews>
  <sheetFormatPr defaultColWidth="9.140625" defaultRowHeight="15" customHeight="1" x14ac:dyDescent="0.2"/>
  <cols>
    <col min="1" max="1" width="12.140625" customWidth="1"/>
    <col min="2" max="2" width="11.28515625" customWidth="1"/>
    <col min="3" max="3" width="14.28515625" customWidth="1"/>
    <col min="4" max="7" width="20.28515625" customWidth="1"/>
    <col min="10" max="10" width="18.7109375" customWidth="1"/>
    <col min="11" max="11" width="12.85546875" customWidth="1"/>
    <col min="12" max="12" width="13" customWidth="1"/>
    <col min="13" max="13" width="11.855468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263</v>
      </c>
    </row>
    <row r="3" spans="1:1" ht="15" customHeight="1" x14ac:dyDescent="0.2">
      <c r="A3" t="s">
        <v>264</v>
      </c>
    </row>
    <row r="4" spans="1:1" ht="15" customHeight="1" x14ac:dyDescent="0.2">
      <c r="A4" t="s">
        <v>3</v>
      </c>
    </row>
    <row r="5" spans="1:1" ht="15" customHeight="1" x14ac:dyDescent="0.2">
      <c r="A5" t="s">
        <v>100</v>
      </c>
    </row>
    <row r="7" spans="1:1" ht="15" customHeight="1" x14ac:dyDescent="0.2">
      <c r="A7" t="s">
        <v>61</v>
      </c>
    </row>
    <row r="8" spans="1:1" ht="15" customHeight="1" x14ac:dyDescent="0.2">
      <c r="A8" t="s">
        <v>62</v>
      </c>
    </row>
    <row r="9" spans="1:1" ht="15" customHeight="1" x14ac:dyDescent="0.2">
      <c r="A9" t="s">
        <v>63</v>
      </c>
    </row>
    <row r="10" spans="1:1" ht="15" customHeight="1" x14ac:dyDescent="0.2">
      <c r="A10" t="s">
        <v>5</v>
      </c>
    </row>
    <row r="11" spans="1:1" ht="15" customHeight="1" x14ac:dyDescent="0.2">
      <c r="A11" t="s">
        <v>64</v>
      </c>
    </row>
    <row r="12" spans="1:1" ht="15" customHeight="1" x14ac:dyDescent="0.2">
      <c r="A12" t="s">
        <v>65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265</v>
      </c>
    </row>
    <row r="38" spans="1:7" ht="15" customHeight="1" x14ac:dyDescent="0.2">
      <c r="A38" t="s">
        <v>67</v>
      </c>
    </row>
    <row r="39" spans="1:7" ht="12.75" x14ac:dyDescent="0.2">
      <c r="A39" t="s">
        <v>68</v>
      </c>
    </row>
    <row r="40" spans="1:7" ht="12.75" x14ac:dyDescent="0.2">
      <c r="A40" t="s">
        <v>69</v>
      </c>
      <c r="B40" s="6">
        <v>7.9381099999999996E-2</v>
      </c>
    </row>
    <row r="41" spans="1:7" ht="12.75" x14ac:dyDescent="0.2">
      <c r="A41" t="s">
        <v>70</v>
      </c>
      <c r="B41" s="4">
        <v>-0.95040100000000005</v>
      </c>
    </row>
    <row r="42" spans="1:7" ht="12.75" x14ac:dyDescent="0.2">
      <c r="A42" t="s">
        <v>71</v>
      </c>
      <c r="B42" s="2">
        <v>4.4453199999999997</v>
      </c>
    </row>
    <row r="43" spans="1:7" ht="12.75" x14ac:dyDescent="0.2">
      <c r="A43" t="s">
        <v>72</v>
      </c>
      <c r="B43" s="4">
        <v>0.53297099999999997</v>
      </c>
    </row>
    <row r="44" spans="1:7" ht="12.75" x14ac:dyDescent="0.2"/>
    <row r="45" spans="1:7" ht="12.75" x14ac:dyDescent="0.2">
      <c r="A45" t="s">
        <v>266</v>
      </c>
    </row>
    <row r="46" spans="1:7" ht="12.75" x14ac:dyDescent="0.2">
      <c r="A46" t="s">
        <v>3</v>
      </c>
    </row>
    <row r="47" spans="1:7" ht="12.75" x14ac:dyDescent="0.2">
      <c r="A47" t="s">
        <v>74</v>
      </c>
      <c r="B47" t="s">
        <v>16</v>
      </c>
      <c r="C47" t="s">
        <v>267</v>
      </c>
      <c r="D47" t="s">
        <v>76</v>
      </c>
      <c r="E47" t="s">
        <v>77</v>
      </c>
      <c r="F47" t="s">
        <v>78</v>
      </c>
      <c r="G47" t="s">
        <v>79</v>
      </c>
    </row>
    <row r="48" spans="1:7" ht="12.75" x14ac:dyDescent="0.2">
      <c r="A48" t="s">
        <v>80</v>
      </c>
      <c r="B48" t="s">
        <v>42</v>
      </c>
      <c r="C48" s="3">
        <v>25</v>
      </c>
      <c r="D48" s="4">
        <v>0.14946899999999999</v>
      </c>
      <c r="E48" s="3">
        <v>13.860300000000001</v>
      </c>
      <c r="F48" s="4">
        <v>0.15298900000000001</v>
      </c>
      <c r="G48" s="5">
        <v>-3.5208499999999998E-3</v>
      </c>
    </row>
    <row r="49" spans="1:7" ht="12.75" x14ac:dyDescent="0.2">
      <c r="A49" t="s">
        <v>81</v>
      </c>
      <c r="B49" t="s">
        <v>42</v>
      </c>
      <c r="C49" s="3">
        <v>25</v>
      </c>
      <c r="D49" s="4">
        <v>0.16411800000000001</v>
      </c>
      <c r="F49" s="4">
        <v>0.15298900000000001</v>
      </c>
      <c r="G49" s="6">
        <v>1.11281E-2</v>
      </c>
    </row>
    <row r="50" spans="1:7" ht="12.75" x14ac:dyDescent="0.2">
      <c r="A50" t="s">
        <v>82</v>
      </c>
      <c r="B50" t="s">
        <v>42</v>
      </c>
      <c r="C50" s="3">
        <v>25</v>
      </c>
      <c r="D50" s="4">
        <v>0.13482</v>
      </c>
      <c r="F50" s="4">
        <v>0.15298900000000001</v>
      </c>
      <c r="G50" s="6">
        <v>-1.8169899999999999E-2</v>
      </c>
    </row>
    <row r="51" spans="1:7" ht="12.75" x14ac:dyDescent="0.2">
      <c r="A51" t="s">
        <v>80</v>
      </c>
      <c r="B51" t="s">
        <v>37</v>
      </c>
      <c r="C51" s="3">
        <v>10</v>
      </c>
      <c r="D51" s="4">
        <v>0.231105</v>
      </c>
      <c r="E51" s="2">
        <v>7.4539999999999997</v>
      </c>
      <c r="F51" s="4">
        <v>0.222882</v>
      </c>
      <c r="G51" s="5">
        <v>8.2229099999999999E-3</v>
      </c>
    </row>
    <row r="52" spans="1:7" ht="12.75" x14ac:dyDescent="0.2">
      <c r="A52" t="s">
        <v>83</v>
      </c>
      <c r="B52" t="s">
        <v>37</v>
      </c>
      <c r="C52" s="3">
        <v>10</v>
      </c>
      <c r="D52" s="4">
        <v>0.243286</v>
      </c>
      <c r="F52" s="4">
        <v>0.222882</v>
      </c>
      <c r="G52" s="6">
        <v>2.0403899999999999E-2</v>
      </c>
    </row>
    <row r="53" spans="1:7" ht="12.75" x14ac:dyDescent="0.2">
      <c r="A53" t="s">
        <v>84</v>
      </c>
      <c r="B53" t="s">
        <v>37</v>
      </c>
      <c r="C53" s="3">
        <v>10</v>
      </c>
      <c r="D53" s="4">
        <v>0.21892400000000001</v>
      </c>
      <c r="F53" s="4">
        <v>0.222882</v>
      </c>
      <c r="G53" s="5">
        <v>-3.95809E-3</v>
      </c>
    </row>
    <row r="54" spans="1:7" ht="12.75" x14ac:dyDescent="0.2">
      <c r="A54" t="s">
        <v>80</v>
      </c>
      <c r="B54" t="s">
        <v>32</v>
      </c>
      <c r="C54" s="2">
        <v>5</v>
      </c>
      <c r="D54" s="4">
        <v>0.29183599999999998</v>
      </c>
      <c r="E54" s="2">
        <v>9.0933799999999998</v>
      </c>
      <c r="F54" s="4">
        <v>0.29351699999999997</v>
      </c>
      <c r="G54" s="5">
        <v>-1.68103E-3</v>
      </c>
    </row>
    <row r="55" spans="1:7" ht="12.75" x14ac:dyDescent="0.2">
      <c r="A55" t="s">
        <v>85</v>
      </c>
      <c r="B55" t="s">
        <v>32</v>
      </c>
      <c r="C55" s="2">
        <v>5</v>
      </c>
      <c r="D55" s="4">
        <v>0.31060100000000002</v>
      </c>
      <c r="F55" s="4">
        <v>0.29351699999999997</v>
      </c>
      <c r="G55" s="6">
        <v>1.7083999999999998E-2</v>
      </c>
    </row>
    <row r="56" spans="1:7" ht="12.75" x14ac:dyDescent="0.2">
      <c r="A56" t="s">
        <v>86</v>
      </c>
      <c r="B56" t="s">
        <v>32</v>
      </c>
      <c r="C56" s="2">
        <v>5</v>
      </c>
      <c r="D56" s="4">
        <v>0.27307100000000001</v>
      </c>
      <c r="F56" s="4">
        <v>0.29351699999999997</v>
      </c>
      <c r="G56" s="6">
        <v>-2.0445999999999999E-2</v>
      </c>
    </row>
    <row r="57" spans="1:7" ht="12.75" x14ac:dyDescent="0.2">
      <c r="A57" t="s">
        <v>80</v>
      </c>
      <c r="B57" t="s">
        <v>27</v>
      </c>
      <c r="C57" s="2">
        <v>2.5</v>
      </c>
      <c r="D57" s="4">
        <v>0.35786800000000002</v>
      </c>
      <c r="E57" s="2">
        <v>3.8103099999999999</v>
      </c>
      <c r="F57" s="4">
        <v>0.36670399999999997</v>
      </c>
      <c r="G57" s="5">
        <v>-8.8366299999999998E-3</v>
      </c>
    </row>
    <row r="58" spans="1:7" ht="12.75" x14ac:dyDescent="0.2">
      <c r="A58" t="s">
        <v>87</v>
      </c>
      <c r="B58" t="s">
        <v>27</v>
      </c>
      <c r="C58" s="2">
        <v>2.5</v>
      </c>
      <c r="D58" s="4">
        <v>0.36751</v>
      </c>
      <c r="F58" s="4">
        <v>0.36670399999999997</v>
      </c>
      <c r="G58" s="7">
        <v>8.0536799999999999E-4</v>
      </c>
    </row>
    <row r="59" spans="1:7" ht="12.75" x14ac:dyDescent="0.2">
      <c r="A59" t="s">
        <v>88</v>
      </c>
      <c r="B59" t="s">
        <v>27</v>
      </c>
      <c r="C59" s="2">
        <v>2.5</v>
      </c>
      <c r="D59" s="4">
        <v>0.34822599999999998</v>
      </c>
      <c r="F59" s="4">
        <v>0.36670399999999997</v>
      </c>
      <c r="G59" s="6">
        <v>-1.8478600000000001E-2</v>
      </c>
    </row>
    <row r="60" spans="1:7" ht="12.75" x14ac:dyDescent="0.2">
      <c r="A60" t="s">
        <v>80</v>
      </c>
      <c r="B60" t="s">
        <v>22</v>
      </c>
      <c r="C60" s="2">
        <v>1</v>
      </c>
      <c r="D60" s="4">
        <v>0.45198199999999999</v>
      </c>
      <c r="E60" s="2">
        <v>1.20025</v>
      </c>
      <c r="F60" s="4">
        <v>0.44452199999999997</v>
      </c>
      <c r="G60" s="5">
        <v>7.4595699999999996E-3</v>
      </c>
    </row>
    <row r="61" spans="1:7" ht="12.75" x14ac:dyDescent="0.2">
      <c r="A61" t="s">
        <v>89</v>
      </c>
      <c r="B61" t="s">
        <v>22</v>
      </c>
      <c r="C61" s="2">
        <v>1</v>
      </c>
      <c r="D61" s="4">
        <v>0.455818</v>
      </c>
      <c r="F61" s="4">
        <v>0.44452199999999997</v>
      </c>
      <c r="G61" s="6">
        <v>1.1295599999999999E-2</v>
      </c>
    </row>
    <row r="62" spans="1:7" ht="12.75" x14ac:dyDescent="0.2">
      <c r="A62" t="s">
        <v>90</v>
      </c>
      <c r="B62" t="s">
        <v>22</v>
      </c>
      <c r="C62" s="2">
        <v>1</v>
      </c>
      <c r="D62" s="4">
        <v>0.44814599999999999</v>
      </c>
      <c r="F62" s="4">
        <v>0.44452199999999997</v>
      </c>
      <c r="G62" s="5">
        <v>3.62357E-3</v>
      </c>
    </row>
    <row r="63" spans="1:7" ht="12.75" x14ac:dyDescent="0.2">
      <c r="A63" t="s">
        <v>80</v>
      </c>
      <c r="B63" t="s">
        <v>17</v>
      </c>
      <c r="C63" s="8">
        <v>0</v>
      </c>
      <c r="D63" s="4">
        <v>0.53132699999999999</v>
      </c>
      <c r="E63" s="2">
        <v>4.0344199999999999</v>
      </c>
      <c r="F63" s="4">
        <v>0.53297099999999997</v>
      </c>
      <c r="G63" s="5">
        <v>-1.6439600000000001E-3</v>
      </c>
    </row>
    <row r="64" spans="1:7" ht="12.75" x14ac:dyDescent="0.2">
      <c r="A64" t="s">
        <v>91</v>
      </c>
      <c r="B64" t="s">
        <v>17</v>
      </c>
      <c r="C64" s="8">
        <v>0</v>
      </c>
      <c r="D64" s="4">
        <v>0.546485</v>
      </c>
      <c r="F64" s="4">
        <v>0.53297099999999997</v>
      </c>
      <c r="G64" s="6">
        <v>1.3513499999999999E-2</v>
      </c>
    </row>
    <row r="65" spans="1:13" ht="12.75" x14ac:dyDescent="0.2">
      <c r="A65" t="s">
        <v>92</v>
      </c>
      <c r="B65" t="s">
        <v>17</v>
      </c>
      <c r="C65" s="8">
        <v>0</v>
      </c>
      <c r="D65" s="4">
        <v>0.51617000000000002</v>
      </c>
      <c r="F65" s="4">
        <v>0.53297099999999997</v>
      </c>
      <c r="G65" s="6">
        <v>-1.68015E-2</v>
      </c>
    </row>
    <row r="66" spans="1:13" ht="12.75" x14ac:dyDescent="0.2"/>
    <row r="67" spans="1:13" ht="12.75" x14ac:dyDescent="0.2"/>
    <row r="68" spans="1:13" ht="12.75" x14ac:dyDescent="0.2">
      <c r="A68" t="s">
        <v>6</v>
      </c>
    </row>
    <row r="69" spans="1:13" ht="12.75" x14ac:dyDescent="0.2">
      <c r="A69" t="s">
        <v>3</v>
      </c>
      <c r="J69" s="28"/>
      <c r="M69" s="28"/>
    </row>
    <row r="70" spans="1:13" ht="12.75" x14ac:dyDescent="0.2">
      <c r="A70" s="20" t="s">
        <v>93</v>
      </c>
      <c r="B70" s="22">
        <v>1</v>
      </c>
      <c r="C70" s="22">
        <v>2</v>
      </c>
      <c r="D70" s="22">
        <v>3</v>
      </c>
      <c r="E70" s="22">
        <v>4</v>
      </c>
      <c r="F70" s="22">
        <v>5</v>
      </c>
      <c r="G70" s="22">
        <v>6</v>
      </c>
      <c r="J70" s="28"/>
      <c r="K70" s="29" t="s">
        <v>232</v>
      </c>
      <c r="L70" s="29"/>
      <c r="M70" s="28"/>
    </row>
    <row r="71" spans="1:13" ht="12.75" x14ac:dyDescent="0.2">
      <c r="A71" s="20" t="s">
        <v>8</v>
      </c>
      <c r="B71" s="25">
        <v>0.546485</v>
      </c>
      <c r="C71" s="25">
        <v>0.51617000000000002</v>
      </c>
      <c r="D71" s="25">
        <v>0.27249499999999999</v>
      </c>
      <c r="E71" s="25">
        <v>0.28090399999999999</v>
      </c>
      <c r="F71" s="25">
        <v>0.53771899999999995</v>
      </c>
      <c r="G71" s="25">
        <v>0.47605900000000001</v>
      </c>
      <c r="J71" s="21" t="s">
        <v>233</v>
      </c>
      <c r="K71" s="21" t="s">
        <v>234</v>
      </c>
      <c r="L71" s="21" t="s">
        <v>235</v>
      </c>
      <c r="M71" s="21" t="s">
        <v>236</v>
      </c>
    </row>
    <row r="72" spans="1:13" ht="12.75" x14ac:dyDescent="0.2">
      <c r="A72" s="20" t="s">
        <v>9</v>
      </c>
      <c r="B72" s="25">
        <v>0.455818</v>
      </c>
      <c r="C72" s="25">
        <v>0.44814599999999999</v>
      </c>
      <c r="D72" s="25">
        <v>0.48685200000000001</v>
      </c>
      <c r="E72" s="25">
        <v>0.48083500000000001</v>
      </c>
      <c r="F72" s="25">
        <v>0.50244699999999998</v>
      </c>
      <c r="G72" s="25">
        <v>0.49535699999999999</v>
      </c>
      <c r="J72" s="21">
        <v>2.5</v>
      </c>
      <c r="K72" s="39">
        <v>5.8579650000000001</v>
      </c>
      <c r="L72" s="21">
        <f>J72*K72</f>
        <v>14.6449125</v>
      </c>
      <c r="M72" s="21"/>
    </row>
    <row r="73" spans="1:13" ht="12.75" x14ac:dyDescent="0.2">
      <c r="A73" s="20" t="s">
        <v>10</v>
      </c>
      <c r="B73" s="25">
        <v>0.36751</v>
      </c>
      <c r="C73" s="25">
        <v>0.34822599999999998</v>
      </c>
      <c r="D73" s="25">
        <v>0.49420999999999998</v>
      </c>
      <c r="E73" s="25">
        <v>0.457646</v>
      </c>
      <c r="F73" s="25">
        <v>0.52293900000000004</v>
      </c>
      <c r="G73" s="25">
        <v>0.548489</v>
      </c>
      <c r="J73" s="21">
        <v>5</v>
      </c>
      <c r="K73" s="39">
        <v>0.48402000000000001</v>
      </c>
      <c r="L73" s="21">
        <f t="shared" ref="L73:L76" si="0">J73*K73</f>
        <v>2.4201000000000001</v>
      </c>
      <c r="M73" s="21"/>
    </row>
    <row r="74" spans="1:13" ht="12.75" x14ac:dyDescent="0.2">
      <c r="A74" s="20" t="s">
        <v>11</v>
      </c>
      <c r="B74" s="25">
        <v>0.31060100000000002</v>
      </c>
      <c r="C74" s="25">
        <v>0.27307100000000001</v>
      </c>
      <c r="D74" s="25">
        <v>0.50516799999999995</v>
      </c>
      <c r="E74" s="25">
        <v>0.50819800000000004</v>
      </c>
      <c r="F74" s="25">
        <v>0.56208400000000003</v>
      </c>
      <c r="G74" s="25">
        <v>0.57650000000000001</v>
      </c>
      <c r="J74" s="21">
        <v>10</v>
      </c>
      <c r="K74" s="47">
        <v>0.59037649999999997</v>
      </c>
      <c r="L74" s="21">
        <f t="shared" si="0"/>
        <v>5.9037649999999999</v>
      </c>
      <c r="M74" s="21"/>
    </row>
    <row r="75" spans="1:13" ht="12.75" x14ac:dyDescent="0.2">
      <c r="A75" s="20" t="s">
        <v>12</v>
      </c>
      <c r="B75" s="25">
        <v>0.243286</v>
      </c>
      <c r="C75" s="25">
        <v>0.21892400000000001</v>
      </c>
      <c r="D75" s="25">
        <v>0.494726</v>
      </c>
      <c r="E75" s="25">
        <v>0.52474600000000005</v>
      </c>
      <c r="F75" s="25">
        <v>0.53647800000000001</v>
      </c>
      <c r="G75" s="25">
        <v>0.54610300000000001</v>
      </c>
      <c r="J75" s="21">
        <v>20</v>
      </c>
      <c r="K75" s="48">
        <v>0.23652650000000003</v>
      </c>
      <c r="L75" s="21">
        <f t="shared" si="0"/>
        <v>4.7305300000000008</v>
      </c>
      <c r="M75" s="21"/>
    </row>
    <row r="76" spans="1:13" ht="12.75" x14ac:dyDescent="0.2">
      <c r="A76" s="20" t="s">
        <v>13</v>
      </c>
      <c r="B76" s="25">
        <v>0.16411800000000001</v>
      </c>
      <c r="C76" s="25">
        <v>0.13482</v>
      </c>
      <c r="D76" s="25">
        <v>0.30257099999999998</v>
      </c>
      <c r="E76" s="25">
        <v>0.32643699999999998</v>
      </c>
      <c r="F76" s="25">
        <v>0.36502000000000001</v>
      </c>
      <c r="G76" s="25">
        <v>0.49046499999999998</v>
      </c>
      <c r="J76" s="21">
        <v>40</v>
      </c>
      <c r="K76" s="48">
        <v>0.21404290000000001</v>
      </c>
      <c r="L76" s="21">
        <f t="shared" si="0"/>
        <v>8.5617160000000005</v>
      </c>
      <c r="M76" s="21"/>
    </row>
    <row r="77" spans="1:13" ht="12.75" x14ac:dyDescent="0.2">
      <c r="A77" s="20" t="s">
        <v>14</v>
      </c>
      <c r="B77" s="25">
        <v>0.50351800000000002</v>
      </c>
      <c r="C77" s="25">
        <v>0.50927100000000003</v>
      </c>
      <c r="D77" s="25">
        <v>0.32139400000000001</v>
      </c>
      <c r="E77" s="25">
        <v>0.37832300000000002</v>
      </c>
      <c r="F77" s="25">
        <v>0.42062300000000002</v>
      </c>
      <c r="G77" s="25">
        <v>0.45634799999999998</v>
      </c>
      <c r="J77" s="28"/>
      <c r="K77" s="28"/>
      <c r="L77" s="28"/>
      <c r="M77" s="28"/>
    </row>
    <row r="78" spans="1:13" ht="12.75" x14ac:dyDescent="0.2">
      <c r="A78" s="20" t="s">
        <v>15</v>
      </c>
      <c r="B78" s="20"/>
      <c r="C78" s="20"/>
      <c r="D78" s="25">
        <v>0.39524700000000001</v>
      </c>
      <c r="E78" s="25">
        <v>0.39766400000000002</v>
      </c>
      <c r="F78" s="25">
        <v>0.47486200000000001</v>
      </c>
      <c r="G78" s="25">
        <v>0.45008700000000001</v>
      </c>
      <c r="J78" s="21"/>
      <c r="K78" s="21" t="s">
        <v>237</v>
      </c>
      <c r="L78" s="21" t="s">
        <v>238</v>
      </c>
      <c r="M78" s="21" t="s">
        <v>236</v>
      </c>
    </row>
    <row r="79" spans="1:13" ht="12.75" x14ac:dyDescent="0.2">
      <c r="J79" s="46" t="s">
        <v>289</v>
      </c>
      <c r="K79" s="21">
        <v>9.14</v>
      </c>
      <c r="L79" s="21">
        <v>4.1390950000000002</v>
      </c>
      <c r="M79" s="21">
        <f>(L79/K79)*100</f>
        <v>45.285503282275712</v>
      </c>
    </row>
    <row r="80" spans="1:13" ht="12.75" x14ac:dyDescent="0.2">
      <c r="A80" s="20" t="s">
        <v>267</v>
      </c>
      <c r="B80" s="22">
        <v>1</v>
      </c>
      <c r="C80" s="22">
        <v>2</v>
      </c>
      <c r="D80" s="22">
        <v>3</v>
      </c>
      <c r="E80" s="22">
        <v>4</v>
      </c>
      <c r="F80" s="22">
        <v>5</v>
      </c>
      <c r="G80" s="22">
        <v>6</v>
      </c>
      <c r="J80" s="46" t="s">
        <v>290</v>
      </c>
      <c r="K80" s="21">
        <v>4.8650000000000002</v>
      </c>
      <c r="L80" s="21">
        <v>3.0405100000000003</v>
      </c>
      <c r="M80" s="21">
        <f t="shared" ref="M80:M83" si="1">(L80/K80)*100</f>
        <v>62.497636176772872</v>
      </c>
    </row>
    <row r="81" spans="1:15" ht="12.75" x14ac:dyDescent="0.2">
      <c r="A81" s="20" t="s">
        <v>8</v>
      </c>
      <c r="B81" s="20" t="s">
        <v>94</v>
      </c>
      <c r="C81" s="25">
        <v>0.144257</v>
      </c>
      <c r="D81" s="26">
        <v>6.0903299999999998</v>
      </c>
      <c r="E81" s="26">
        <v>5.6256000000000004</v>
      </c>
      <c r="F81" s="20" t="s">
        <v>94</v>
      </c>
      <c r="G81" s="25">
        <v>0.57632399999999995</v>
      </c>
      <c r="J81" s="46" t="s">
        <v>291</v>
      </c>
      <c r="K81" s="21">
        <v>2.7269999999999999</v>
      </c>
      <c r="L81" s="21">
        <v>1.831685</v>
      </c>
      <c r="M81" s="21">
        <f t="shared" si="1"/>
        <v>67.168500183351682</v>
      </c>
    </row>
    <row r="82" spans="1:15" ht="12.75" x14ac:dyDescent="0.2">
      <c r="A82" s="20" t="s">
        <v>9</v>
      </c>
      <c r="B82" s="25">
        <v>0.83877199999999996</v>
      </c>
      <c r="C82" s="25">
        <v>0.94704999999999995</v>
      </c>
      <c r="D82" s="25">
        <v>0.44906600000000002</v>
      </c>
      <c r="E82" s="25">
        <v>0.51897400000000005</v>
      </c>
      <c r="F82" s="25">
        <v>0.279613</v>
      </c>
      <c r="G82" s="25">
        <v>0.35458600000000001</v>
      </c>
      <c r="J82" s="46" t="s">
        <v>292</v>
      </c>
      <c r="K82" s="21">
        <v>1.66</v>
      </c>
      <c r="L82" s="21">
        <v>0.57632399999999995</v>
      </c>
      <c r="M82" s="21">
        <f t="shared" si="1"/>
        <v>34.718313253012042</v>
      </c>
    </row>
    <row r="83" spans="1:15" ht="12.75" x14ac:dyDescent="0.2">
      <c r="A83" s="20" t="s">
        <v>10</v>
      </c>
      <c r="B83" s="26">
        <v>2.4799500000000001</v>
      </c>
      <c r="C83" s="26">
        <v>2.99552</v>
      </c>
      <c r="D83" s="25">
        <v>0.36703599999999997</v>
      </c>
      <c r="E83" s="25">
        <v>0.81371700000000002</v>
      </c>
      <c r="F83" s="24">
        <v>8.2505599999999998E-2</v>
      </c>
      <c r="G83" s="20" t="s">
        <v>94</v>
      </c>
      <c r="J83" s="46" t="s">
        <v>293</v>
      </c>
      <c r="K83" s="21">
        <v>1.1240000000000001</v>
      </c>
      <c r="L83" s="21">
        <v>0.31709949999999998</v>
      </c>
      <c r="M83" s="21">
        <f t="shared" si="1"/>
        <v>28.211699288256227</v>
      </c>
      <c r="O83" s="4"/>
    </row>
    <row r="84" spans="1:15" ht="12.75" x14ac:dyDescent="0.2">
      <c r="A84" s="20" t="s">
        <v>11</v>
      </c>
      <c r="B84" s="26">
        <v>4.2664900000000001</v>
      </c>
      <c r="C84" s="26">
        <v>6.05715</v>
      </c>
      <c r="D84" s="25">
        <v>0.25174600000000003</v>
      </c>
      <c r="E84" s="25">
        <v>0.221307</v>
      </c>
      <c r="F84" s="20" t="s">
        <v>94</v>
      </c>
      <c r="G84" s="20" t="s">
        <v>94</v>
      </c>
      <c r="J84" s="28"/>
      <c r="K84" s="28"/>
      <c r="L84" s="28"/>
      <c r="M84" s="28"/>
    </row>
    <row r="85" spans="1:15" ht="12.75" x14ac:dyDescent="0.2">
      <c r="A85" s="20" t="s">
        <v>12</v>
      </c>
      <c r="B85" s="26">
        <v>8.0936900000000005</v>
      </c>
      <c r="C85" s="23">
        <v>10.436999999999999</v>
      </c>
      <c r="D85" s="25">
        <v>0.36142400000000002</v>
      </c>
      <c r="E85" s="24">
        <v>6.6661799999999993E-2</v>
      </c>
      <c r="F85" s="20" t="s">
        <v>94</v>
      </c>
      <c r="G85" s="20" t="s">
        <v>94</v>
      </c>
      <c r="J85" s="28"/>
      <c r="M85" s="28"/>
    </row>
    <row r="86" spans="1:15" ht="12.75" x14ac:dyDescent="0.2">
      <c r="A86" s="20" t="s">
        <v>13</v>
      </c>
      <c r="B86" s="23">
        <v>20.894100000000002</v>
      </c>
      <c r="C86" s="23">
        <v>35.3855</v>
      </c>
      <c r="D86" s="26">
        <v>4.5965600000000002</v>
      </c>
      <c r="E86" s="26">
        <v>3.6816300000000002</v>
      </c>
      <c r="F86" s="26">
        <v>2.5423399999999998</v>
      </c>
      <c r="G86" s="25">
        <v>0.40831800000000001</v>
      </c>
      <c r="J86" s="28"/>
      <c r="K86" s="29" t="s">
        <v>240</v>
      </c>
      <c r="L86" s="29"/>
      <c r="M86" s="28"/>
    </row>
    <row r="87" spans="1:15" ht="12.75" x14ac:dyDescent="0.2">
      <c r="A87" s="20" t="s">
        <v>14</v>
      </c>
      <c r="B87" s="25">
        <v>0.26858500000000002</v>
      </c>
      <c r="C87" s="25">
        <v>0.210678</v>
      </c>
      <c r="D87" s="26">
        <v>3.8591199999999999</v>
      </c>
      <c r="E87" s="26">
        <v>2.2219000000000002</v>
      </c>
      <c r="F87" s="26">
        <v>1.3811100000000001</v>
      </c>
      <c r="G87" s="25">
        <v>0.83147899999999997</v>
      </c>
      <c r="J87" s="21" t="s">
        <v>233</v>
      </c>
      <c r="K87" s="21" t="s">
        <v>234</v>
      </c>
      <c r="L87" s="21" t="s">
        <v>235</v>
      </c>
      <c r="M87" s="21" t="s">
        <v>236</v>
      </c>
    </row>
    <row r="88" spans="1:15" ht="12.75" x14ac:dyDescent="0.2">
      <c r="A88" s="20" t="s">
        <v>15</v>
      </c>
      <c r="B88" s="20"/>
      <c r="C88" s="20"/>
      <c r="D88" s="26">
        <v>1.85609</v>
      </c>
      <c r="E88" s="26">
        <v>1.80728</v>
      </c>
      <c r="F88" s="25">
        <v>0.59096099999999996</v>
      </c>
      <c r="G88" s="25">
        <v>0.91917000000000004</v>
      </c>
      <c r="J88" s="21">
        <v>5</v>
      </c>
      <c r="K88" s="39">
        <v>0.2396315</v>
      </c>
      <c r="L88" s="21">
        <f>J88*K88</f>
        <v>1.1981575</v>
      </c>
      <c r="M88" s="21"/>
    </row>
    <row r="89" spans="1:15" ht="12.75" x14ac:dyDescent="0.2">
      <c r="J89" s="21">
        <v>10</v>
      </c>
      <c r="K89" s="39">
        <v>8.2505599999999998E-2</v>
      </c>
      <c r="L89" s="21">
        <f t="shared" ref="L89:L91" si="2">J89*K89</f>
        <v>0.82505600000000001</v>
      </c>
      <c r="M89" s="21"/>
    </row>
    <row r="90" spans="1:15" ht="12.75" x14ac:dyDescent="0.2">
      <c r="A90" s="20" t="s">
        <v>16</v>
      </c>
      <c r="B90" s="22">
        <v>1</v>
      </c>
      <c r="C90" s="22">
        <v>2</v>
      </c>
      <c r="D90" s="22">
        <v>3</v>
      </c>
      <c r="E90" s="22">
        <v>4</v>
      </c>
      <c r="F90" s="22">
        <v>5</v>
      </c>
      <c r="G90" s="22">
        <v>6</v>
      </c>
      <c r="J90" s="21">
        <v>20</v>
      </c>
      <c r="K90" s="49" t="s">
        <v>268</v>
      </c>
      <c r="L90" s="21" t="e">
        <f t="shared" si="2"/>
        <v>#VALUE!</v>
      </c>
      <c r="M90" s="21"/>
    </row>
    <row r="91" spans="1:15" ht="12.75" x14ac:dyDescent="0.2">
      <c r="A91" s="20" t="s">
        <v>8</v>
      </c>
      <c r="B91" s="20" t="s">
        <v>226</v>
      </c>
      <c r="C91" s="20" t="s">
        <v>226</v>
      </c>
      <c r="D91" s="20" t="s">
        <v>269</v>
      </c>
      <c r="E91" s="20" t="s">
        <v>269</v>
      </c>
      <c r="F91" s="21" t="s">
        <v>270</v>
      </c>
      <c r="G91" s="21" t="s">
        <v>270</v>
      </c>
      <c r="J91" s="21">
        <v>40</v>
      </c>
      <c r="K91" s="49" t="s">
        <v>268</v>
      </c>
      <c r="L91" s="21" t="e">
        <f t="shared" si="2"/>
        <v>#VALUE!</v>
      </c>
      <c r="M91" s="21"/>
    </row>
    <row r="92" spans="1:15" ht="12.75" x14ac:dyDescent="0.2">
      <c r="A92" s="20" t="s">
        <v>9</v>
      </c>
      <c r="B92" s="20" t="s">
        <v>225</v>
      </c>
      <c r="C92" s="20" t="s">
        <v>225</v>
      </c>
      <c r="D92" s="20" t="s">
        <v>271</v>
      </c>
      <c r="E92" s="20" t="s">
        <v>271</v>
      </c>
      <c r="F92" s="21" t="s">
        <v>272</v>
      </c>
      <c r="G92" s="21" t="s">
        <v>272</v>
      </c>
      <c r="L92" s="28"/>
      <c r="M92" s="28"/>
    </row>
    <row r="93" spans="1:15" ht="12.75" x14ac:dyDescent="0.2">
      <c r="A93" s="20" t="s">
        <v>10</v>
      </c>
      <c r="B93" s="20" t="s">
        <v>224</v>
      </c>
      <c r="C93" s="20" t="s">
        <v>224</v>
      </c>
      <c r="D93" s="20" t="s">
        <v>273</v>
      </c>
      <c r="E93" s="20" t="s">
        <v>273</v>
      </c>
      <c r="F93" s="20" t="s">
        <v>274</v>
      </c>
      <c r="G93" s="20" t="s">
        <v>274</v>
      </c>
      <c r="J93" s="28"/>
      <c r="K93" s="28"/>
      <c r="L93" s="28"/>
      <c r="M93" s="28"/>
    </row>
    <row r="94" spans="1:15" ht="12.75" x14ac:dyDescent="0.2">
      <c r="A94" s="20" t="s">
        <v>11</v>
      </c>
      <c r="B94" s="20" t="s">
        <v>275</v>
      </c>
      <c r="C94" s="20" t="s">
        <v>275</v>
      </c>
      <c r="D94" s="20" t="s">
        <v>276</v>
      </c>
      <c r="E94" s="20" t="s">
        <v>276</v>
      </c>
      <c r="F94" s="20" t="s">
        <v>277</v>
      </c>
      <c r="G94" s="20" t="s">
        <v>277</v>
      </c>
      <c r="J94" s="21"/>
      <c r="K94" s="21" t="s">
        <v>237</v>
      </c>
      <c r="L94" s="21" t="s">
        <v>238</v>
      </c>
      <c r="M94" s="21" t="s">
        <v>236</v>
      </c>
    </row>
    <row r="95" spans="1:15" ht="12.75" x14ac:dyDescent="0.2">
      <c r="A95" s="20" t="s">
        <v>12</v>
      </c>
      <c r="B95" s="20" t="s">
        <v>228</v>
      </c>
      <c r="C95" s="20" t="s">
        <v>228</v>
      </c>
      <c r="D95" s="20" t="s">
        <v>278</v>
      </c>
      <c r="E95" s="20" t="s">
        <v>278</v>
      </c>
      <c r="F95" s="20" t="s">
        <v>279</v>
      </c>
      <c r="G95" s="20" t="s">
        <v>279</v>
      </c>
      <c r="J95" s="46" t="s">
        <v>294</v>
      </c>
      <c r="K95" s="21">
        <v>8.6199999999999992</v>
      </c>
      <c r="L95" s="30">
        <v>2.5423399999999998</v>
      </c>
      <c r="M95" s="21">
        <f>(L95/K95)*100</f>
        <v>29.49350348027842</v>
      </c>
    </row>
    <row r="96" spans="1:15" ht="12.75" x14ac:dyDescent="0.2">
      <c r="A96" s="20" t="s">
        <v>13</v>
      </c>
      <c r="B96" s="20" t="s">
        <v>229</v>
      </c>
      <c r="C96" s="20" t="s">
        <v>229</v>
      </c>
      <c r="D96" s="21" t="s">
        <v>280</v>
      </c>
      <c r="E96" s="21" t="s">
        <v>280</v>
      </c>
      <c r="F96" s="21" t="s">
        <v>281</v>
      </c>
      <c r="G96" s="21" t="s">
        <v>282</v>
      </c>
      <c r="J96" s="46" t="s">
        <v>295</v>
      </c>
      <c r="K96" s="21">
        <v>4.3499999999999996</v>
      </c>
      <c r="L96" s="21">
        <v>1.1062945</v>
      </c>
      <c r="M96" s="21">
        <f>(L96/K96)*100</f>
        <v>25.432057471264368</v>
      </c>
    </row>
    <row r="97" spans="1:13" ht="12.75" x14ac:dyDescent="0.2">
      <c r="A97" s="20" t="s">
        <v>14</v>
      </c>
      <c r="B97" s="20" t="s">
        <v>283</v>
      </c>
      <c r="C97" s="20" t="s">
        <v>283</v>
      </c>
      <c r="D97" s="21" t="s">
        <v>284</v>
      </c>
      <c r="E97" s="21" t="s">
        <v>284</v>
      </c>
      <c r="F97" s="21" t="s">
        <v>285</v>
      </c>
      <c r="G97" s="21" t="s">
        <v>285</v>
      </c>
      <c r="J97" s="46" t="s">
        <v>296</v>
      </c>
      <c r="K97" s="21">
        <v>2.403</v>
      </c>
      <c r="L97" s="21">
        <v>0.75506549999999995</v>
      </c>
      <c r="M97" s="21">
        <f t="shared" ref="M97:M98" si="3">(L97/K97)*100</f>
        <v>31.421785268414482</v>
      </c>
    </row>
    <row r="98" spans="1:13" ht="12.75" x14ac:dyDescent="0.2">
      <c r="A98" s="20" t="s">
        <v>15</v>
      </c>
      <c r="B98" s="20" t="s">
        <v>286</v>
      </c>
      <c r="C98" s="20" t="s">
        <v>286</v>
      </c>
      <c r="D98" s="21" t="s">
        <v>287</v>
      </c>
      <c r="E98" s="21" t="s">
        <v>287</v>
      </c>
      <c r="F98" s="21" t="s">
        <v>288</v>
      </c>
      <c r="G98" s="21" t="s">
        <v>288</v>
      </c>
      <c r="J98" s="46" t="s">
        <v>297</v>
      </c>
      <c r="K98" s="21">
        <v>1.31</v>
      </c>
      <c r="L98" s="21">
        <v>0.40831800000000001</v>
      </c>
      <c r="M98" s="21">
        <f t="shared" si="3"/>
        <v>31.169312977099235</v>
      </c>
    </row>
    <row r="100" spans="1:13" ht="12.75" x14ac:dyDescent="0.2">
      <c r="A100" t="s">
        <v>96</v>
      </c>
      <c r="F100" s="43" t="s">
        <v>253</v>
      </c>
      <c r="G100" s="43"/>
    </row>
    <row r="101" spans="1:13" ht="15" customHeight="1" x14ac:dyDescent="0.2">
      <c r="F101" s="44" t="s">
        <v>254</v>
      </c>
      <c r="G101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102</v>
      </c>
    </row>
    <row r="3" spans="1:5" ht="15" customHeight="1" x14ac:dyDescent="0.2">
      <c r="B3" t="s">
        <v>103</v>
      </c>
      <c r="E3" t="s">
        <v>104</v>
      </c>
    </row>
    <row r="4" spans="1:5" ht="15" customHeight="1" x14ac:dyDescent="0.2">
      <c r="B4" t="s">
        <v>105</v>
      </c>
      <c r="E4" t="s">
        <v>106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107</v>
      </c>
    </row>
    <row r="3" spans="1:5" ht="15" customHeight="1" x14ac:dyDescent="0.2">
      <c r="B3" t="s">
        <v>108</v>
      </c>
      <c r="E3" t="s">
        <v>1</v>
      </c>
    </row>
    <row r="4" spans="1:5" ht="15" customHeight="1" x14ac:dyDescent="0.2">
      <c r="B4" t="s">
        <v>109</v>
      </c>
      <c r="E4" t="s">
        <v>110</v>
      </c>
    </row>
    <row r="5" spans="1:5" ht="15" customHeight="1" x14ac:dyDescent="0.2">
      <c r="B5" t="s">
        <v>111</v>
      </c>
      <c r="E5" t="s">
        <v>112</v>
      </c>
    </row>
    <row r="6" spans="1:5" ht="15" customHeight="1" x14ac:dyDescent="0.2">
      <c r="B6" t="s">
        <v>113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114</v>
      </c>
    </row>
    <row r="3" spans="1:5" ht="15" customHeight="1" x14ac:dyDescent="0.2">
      <c r="B3" t="s">
        <v>115</v>
      </c>
      <c r="E3" t="s">
        <v>116</v>
      </c>
    </row>
    <row r="4" spans="1:5" ht="15" customHeight="1" x14ac:dyDescent="0.2">
      <c r="B4" t="s">
        <v>117</v>
      </c>
      <c r="E4" t="s">
        <v>118</v>
      </c>
    </row>
    <row r="5" spans="1:5" ht="15" customHeight="1" x14ac:dyDescent="0.2">
      <c r="B5" t="s">
        <v>119</v>
      </c>
      <c r="E5" t="s">
        <v>120</v>
      </c>
    </row>
    <row r="6" spans="1:5" ht="15" customHeight="1" x14ac:dyDescent="0.2">
      <c r="B6" t="s">
        <v>121</v>
      </c>
      <c r="E6" t="s">
        <v>122</v>
      </c>
    </row>
    <row r="8" spans="1:5" ht="15" customHeight="1" x14ac:dyDescent="0.2">
      <c r="B8" t="s">
        <v>123</v>
      </c>
    </row>
    <row r="10" spans="1:5" ht="15" customHeight="1" x14ac:dyDescent="0.2">
      <c r="B10" t="s">
        <v>124</v>
      </c>
    </row>
    <row r="11" spans="1:5" ht="15" customHeight="1" x14ac:dyDescent="0.2">
      <c r="C11" t="s">
        <v>125</v>
      </c>
      <c r="E11" t="s">
        <v>126</v>
      </c>
    </row>
    <row r="12" spans="1:5" ht="15" customHeight="1" x14ac:dyDescent="0.2">
      <c r="C12" t="s">
        <v>115</v>
      </c>
      <c r="E12" t="s">
        <v>127</v>
      </c>
    </row>
    <row r="13" spans="1:5" ht="15" customHeight="1" x14ac:dyDescent="0.2">
      <c r="C13" t="s">
        <v>128</v>
      </c>
      <c r="E13" t="s">
        <v>129</v>
      </c>
    </row>
    <row r="14" spans="1:5" ht="15" customHeight="1" x14ac:dyDescent="0.2">
      <c r="C14" t="s">
        <v>130</v>
      </c>
      <c r="E14" t="s">
        <v>131</v>
      </c>
    </row>
    <row r="15" spans="1:5" ht="15" customHeight="1" x14ac:dyDescent="0.2">
      <c r="C15" t="s">
        <v>132</v>
      </c>
      <c r="E15" t="s">
        <v>133</v>
      </c>
    </row>
    <row r="16" spans="1:5" ht="15" customHeight="1" x14ac:dyDescent="0.2">
      <c r="C16" t="s">
        <v>134</v>
      </c>
      <c r="E16" t="s">
        <v>135</v>
      </c>
    </row>
    <row r="18" spans="2:5" ht="15" customHeight="1" x14ac:dyDescent="0.2">
      <c r="B18" t="s">
        <v>124</v>
      </c>
    </row>
    <row r="19" spans="2:5" ht="15" customHeight="1" x14ac:dyDescent="0.2">
      <c r="C19" t="s">
        <v>125</v>
      </c>
      <c r="E19" t="s">
        <v>136</v>
      </c>
    </row>
    <row r="20" spans="2:5" ht="15" customHeight="1" x14ac:dyDescent="0.2">
      <c r="C20" t="s">
        <v>115</v>
      </c>
      <c r="E20" t="s">
        <v>137</v>
      </c>
    </row>
    <row r="21" spans="2:5" ht="15" customHeight="1" x14ac:dyDescent="0.2">
      <c r="C21" t="s">
        <v>128</v>
      </c>
      <c r="E21" t="s">
        <v>138</v>
      </c>
    </row>
    <row r="22" spans="2:5" ht="15" customHeight="1" x14ac:dyDescent="0.2">
      <c r="C22" t="s">
        <v>130</v>
      </c>
      <c r="E22" t="s">
        <v>139</v>
      </c>
    </row>
    <row r="23" spans="2:5" ht="15" customHeight="1" x14ac:dyDescent="0.2">
      <c r="C23" t="s">
        <v>132</v>
      </c>
      <c r="E23" t="s">
        <v>133</v>
      </c>
    </row>
    <row r="24" spans="2:5" ht="15" customHeight="1" x14ac:dyDescent="0.2">
      <c r="C24" t="s">
        <v>134</v>
      </c>
      <c r="E24" t="s">
        <v>135</v>
      </c>
    </row>
    <row r="26" spans="2:5" ht="15" customHeight="1" x14ac:dyDescent="0.2">
      <c r="B26" t="s">
        <v>124</v>
      </c>
    </row>
    <row r="27" spans="2:5" ht="15" customHeight="1" x14ac:dyDescent="0.2">
      <c r="C27" t="s">
        <v>125</v>
      </c>
      <c r="E27" t="s">
        <v>140</v>
      </c>
    </row>
    <row r="28" spans="2:5" ht="15" customHeight="1" x14ac:dyDescent="0.2">
      <c r="C28" t="s">
        <v>115</v>
      </c>
      <c r="E28" t="s">
        <v>141</v>
      </c>
    </row>
    <row r="29" spans="2:5" ht="15" customHeight="1" x14ac:dyDescent="0.2">
      <c r="C29" t="s">
        <v>128</v>
      </c>
      <c r="E29" t="s">
        <v>142</v>
      </c>
    </row>
    <row r="30" spans="2:5" ht="15" customHeight="1" x14ac:dyDescent="0.2">
      <c r="C30" t="s">
        <v>130</v>
      </c>
      <c r="E30" t="s">
        <v>139</v>
      </c>
    </row>
    <row r="31" spans="2:5" ht="15" customHeight="1" x14ac:dyDescent="0.2">
      <c r="C31" t="s">
        <v>132</v>
      </c>
      <c r="E31" t="s">
        <v>133</v>
      </c>
    </row>
    <row r="32" spans="2:5" ht="15" customHeight="1" x14ac:dyDescent="0.2">
      <c r="C32" t="s">
        <v>134</v>
      </c>
      <c r="E32" t="s">
        <v>135</v>
      </c>
    </row>
    <row r="34" spans="2:5" ht="15" customHeight="1" x14ac:dyDescent="0.2">
      <c r="B34" t="s">
        <v>143</v>
      </c>
    </row>
    <row r="35" spans="2:5" ht="15" customHeight="1" x14ac:dyDescent="0.2">
      <c r="C35" t="s">
        <v>144</v>
      </c>
      <c r="E35" t="s">
        <v>145</v>
      </c>
    </row>
    <row r="36" spans="2:5" ht="15" customHeight="1" x14ac:dyDescent="0.2">
      <c r="C36" t="s">
        <v>115</v>
      </c>
      <c r="E36" t="s">
        <v>146</v>
      </c>
    </row>
    <row r="37" spans="2:5" ht="15" customHeight="1" x14ac:dyDescent="0.2">
      <c r="C37" t="s">
        <v>147</v>
      </c>
      <c r="E37" t="s">
        <v>148</v>
      </c>
    </row>
    <row r="38" spans="2:5" ht="15" customHeight="1" x14ac:dyDescent="0.2">
      <c r="C38" t="s">
        <v>130</v>
      </c>
      <c r="E38" t="s">
        <v>149</v>
      </c>
    </row>
    <row r="39" spans="2:5" ht="12.75" x14ac:dyDescent="0.2">
      <c r="C39" t="s">
        <v>132</v>
      </c>
      <c r="E39" t="s">
        <v>133</v>
      </c>
    </row>
    <row r="40" spans="2:5" ht="12.75" x14ac:dyDescent="0.2">
      <c r="C40" t="s">
        <v>134</v>
      </c>
      <c r="E40" t="s">
        <v>135</v>
      </c>
    </row>
    <row r="41" spans="2:5" ht="12.75" x14ac:dyDescent="0.2"/>
    <row r="42" spans="2:5" ht="12.75" x14ac:dyDescent="0.2">
      <c r="B42" t="s">
        <v>143</v>
      </c>
    </row>
    <row r="43" spans="2:5" ht="12.75" x14ac:dyDescent="0.2">
      <c r="C43" t="s">
        <v>144</v>
      </c>
      <c r="E43" t="s">
        <v>150</v>
      </c>
    </row>
    <row r="44" spans="2:5" ht="12.75" x14ac:dyDescent="0.2">
      <c r="C44" t="s">
        <v>115</v>
      </c>
      <c r="E44" t="s">
        <v>151</v>
      </c>
    </row>
    <row r="45" spans="2:5" ht="12.75" x14ac:dyDescent="0.2">
      <c r="C45" t="s">
        <v>147</v>
      </c>
      <c r="E45" t="s">
        <v>152</v>
      </c>
    </row>
    <row r="46" spans="2:5" ht="12.75" x14ac:dyDescent="0.2">
      <c r="C46" t="s">
        <v>130</v>
      </c>
      <c r="E46" t="s">
        <v>139</v>
      </c>
    </row>
    <row r="47" spans="2:5" ht="12.75" x14ac:dyDescent="0.2">
      <c r="C47" t="s">
        <v>132</v>
      </c>
      <c r="E47" t="s">
        <v>133</v>
      </c>
    </row>
    <row r="48" spans="2:5" ht="12.75" x14ac:dyDescent="0.2">
      <c r="C48" t="s">
        <v>134</v>
      </c>
      <c r="E48" t="s">
        <v>135</v>
      </c>
    </row>
    <row r="49" spans="2:5" ht="12.75" x14ac:dyDescent="0.2"/>
    <row r="50" spans="2:5" ht="12.75" x14ac:dyDescent="0.2">
      <c r="B50" t="s">
        <v>143</v>
      </c>
    </row>
    <row r="51" spans="2:5" ht="12.75" x14ac:dyDescent="0.2">
      <c r="C51" t="s">
        <v>144</v>
      </c>
      <c r="E51" t="s">
        <v>153</v>
      </c>
    </row>
    <row r="52" spans="2:5" ht="12.75" x14ac:dyDescent="0.2">
      <c r="C52" t="s">
        <v>115</v>
      </c>
      <c r="E52" t="s">
        <v>154</v>
      </c>
    </row>
    <row r="53" spans="2:5" ht="12.75" x14ac:dyDescent="0.2">
      <c r="C53" t="s">
        <v>147</v>
      </c>
      <c r="E53" t="s">
        <v>155</v>
      </c>
    </row>
    <row r="54" spans="2:5" ht="12.75" x14ac:dyDescent="0.2">
      <c r="C54" t="s">
        <v>130</v>
      </c>
      <c r="E54" t="s">
        <v>156</v>
      </c>
    </row>
    <row r="55" spans="2:5" ht="12.75" x14ac:dyDescent="0.2">
      <c r="C55" t="s">
        <v>132</v>
      </c>
      <c r="E55" t="s">
        <v>133</v>
      </c>
    </row>
    <row r="56" spans="2:5" ht="12.75" x14ac:dyDescent="0.2">
      <c r="C56" t="s">
        <v>134</v>
      </c>
      <c r="E56" t="s">
        <v>135</v>
      </c>
    </row>
    <row r="57" spans="2:5" ht="12.75" x14ac:dyDescent="0.2"/>
    <row r="58" spans="2:5" ht="12.75" x14ac:dyDescent="0.2">
      <c r="B58" t="s">
        <v>157</v>
      </c>
    </row>
    <row r="59" spans="2:5" ht="12.75" x14ac:dyDescent="0.2">
      <c r="C59" t="s">
        <v>115</v>
      </c>
      <c r="E59" t="s">
        <v>158</v>
      </c>
    </row>
    <row r="60" spans="2:5" ht="12.75" x14ac:dyDescent="0.2">
      <c r="C60" t="s">
        <v>125</v>
      </c>
      <c r="E60" t="s">
        <v>126</v>
      </c>
    </row>
    <row r="61" spans="2:5" ht="12.75" x14ac:dyDescent="0.2">
      <c r="C61" t="s">
        <v>115</v>
      </c>
      <c r="E61" t="s">
        <v>127</v>
      </c>
    </row>
    <row r="62" spans="2:5" ht="12.75" x14ac:dyDescent="0.2">
      <c r="C62" t="s">
        <v>128</v>
      </c>
      <c r="E62" t="s">
        <v>129</v>
      </c>
    </row>
    <row r="63" spans="2:5" ht="12.75" x14ac:dyDescent="0.2">
      <c r="C63" t="s">
        <v>144</v>
      </c>
      <c r="E63" t="s">
        <v>145</v>
      </c>
    </row>
    <row r="64" spans="2:5" ht="12.75" x14ac:dyDescent="0.2">
      <c r="C64" t="s">
        <v>115</v>
      </c>
      <c r="E64" t="s">
        <v>146</v>
      </c>
    </row>
    <row r="65" spans="2:5" ht="12.75" x14ac:dyDescent="0.2">
      <c r="C65" t="s">
        <v>147</v>
      </c>
      <c r="E65" t="s">
        <v>148</v>
      </c>
    </row>
    <row r="66" spans="2:5" ht="12.75" x14ac:dyDescent="0.2">
      <c r="C66" t="s">
        <v>132</v>
      </c>
      <c r="E66" t="s">
        <v>133</v>
      </c>
    </row>
    <row r="67" spans="2:5" ht="12.75" x14ac:dyDescent="0.2">
      <c r="C67" t="s">
        <v>159</v>
      </c>
      <c r="E67" t="s">
        <v>160</v>
      </c>
    </row>
    <row r="68" spans="2:5" ht="12.75" x14ac:dyDescent="0.2"/>
    <row r="69" spans="2:5" ht="12.75" x14ac:dyDescent="0.2">
      <c r="B69" t="s">
        <v>157</v>
      </c>
    </row>
    <row r="70" spans="2:5" ht="12.75" x14ac:dyDescent="0.2">
      <c r="C70" t="s">
        <v>115</v>
      </c>
      <c r="E70" t="s">
        <v>161</v>
      </c>
    </row>
    <row r="71" spans="2:5" ht="12.75" x14ac:dyDescent="0.2">
      <c r="C71" t="s">
        <v>125</v>
      </c>
      <c r="E71" t="s">
        <v>136</v>
      </c>
    </row>
    <row r="72" spans="2:5" ht="12.75" x14ac:dyDescent="0.2">
      <c r="C72" t="s">
        <v>115</v>
      </c>
      <c r="E72" t="s">
        <v>137</v>
      </c>
    </row>
    <row r="73" spans="2:5" ht="12.75" x14ac:dyDescent="0.2">
      <c r="C73" t="s">
        <v>128</v>
      </c>
      <c r="E73" t="s">
        <v>138</v>
      </c>
    </row>
    <row r="74" spans="2:5" ht="12.75" x14ac:dyDescent="0.2">
      <c r="C74" t="s">
        <v>144</v>
      </c>
      <c r="E74" t="s">
        <v>150</v>
      </c>
    </row>
    <row r="75" spans="2:5" ht="12.75" x14ac:dyDescent="0.2">
      <c r="C75" t="s">
        <v>115</v>
      </c>
      <c r="E75" t="s">
        <v>151</v>
      </c>
    </row>
    <row r="76" spans="2:5" ht="12.75" x14ac:dyDescent="0.2">
      <c r="C76" t="s">
        <v>147</v>
      </c>
      <c r="E76" t="s">
        <v>152</v>
      </c>
    </row>
    <row r="77" spans="2:5" ht="12.75" x14ac:dyDescent="0.2">
      <c r="C77" t="s">
        <v>132</v>
      </c>
      <c r="E77" t="s">
        <v>133</v>
      </c>
    </row>
    <row r="78" spans="2:5" ht="12.75" x14ac:dyDescent="0.2">
      <c r="C78" t="s">
        <v>159</v>
      </c>
      <c r="E78" t="s">
        <v>160</v>
      </c>
    </row>
    <row r="79" spans="2:5" ht="12.75" x14ac:dyDescent="0.2"/>
    <row r="80" spans="2:5" ht="12.75" x14ac:dyDescent="0.2">
      <c r="B80" t="s">
        <v>157</v>
      </c>
    </row>
    <row r="81" spans="3:5" ht="12.75" x14ac:dyDescent="0.2">
      <c r="C81" t="s">
        <v>115</v>
      </c>
      <c r="E81" t="s">
        <v>162</v>
      </c>
    </row>
    <row r="82" spans="3:5" ht="12.75" x14ac:dyDescent="0.2">
      <c r="C82" t="s">
        <v>125</v>
      </c>
      <c r="E82" t="s">
        <v>140</v>
      </c>
    </row>
    <row r="83" spans="3:5" ht="12.75" x14ac:dyDescent="0.2">
      <c r="C83" t="s">
        <v>115</v>
      </c>
      <c r="E83" t="s">
        <v>141</v>
      </c>
    </row>
    <row r="84" spans="3:5" ht="12.75" x14ac:dyDescent="0.2">
      <c r="C84" t="s">
        <v>128</v>
      </c>
      <c r="E84" t="s">
        <v>142</v>
      </c>
    </row>
    <row r="85" spans="3:5" ht="12.75" x14ac:dyDescent="0.2">
      <c r="C85" t="s">
        <v>144</v>
      </c>
      <c r="E85" t="s">
        <v>153</v>
      </c>
    </row>
    <row r="86" spans="3:5" ht="12.75" x14ac:dyDescent="0.2">
      <c r="C86" t="s">
        <v>115</v>
      </c>
      <c r="E86" t="s">
        <v>154</v>
      </c>
    </row>
    <row r="87" spans="3:5" ht="12.75" x14ac:dyDescent="0.2">
      <c r="C87" t="s">
        <v>147</v>
      </c>
      <c r="E87" t="s">
        <v>155</v>
      </c>
    </row>
    <row r="88" spans="3:5" ht="12.75" x14ac:dyDescent="0.2">
      <c r="C88" t="s">
        <v>132</v>
      </c>
      <c r="E88" t="s">
        <v>133</v>
      </c>
    </row>
    <row r="89" spans="3:5" ht="12.75" x14ac:dyDescent="0.2">
      <c r="C89" t="s">
        <v>159</v>
      </c>
      <c r="E89" t="s">
        <v>160</v>
      </c>
    </row>
    <row r="90" spans="3:5" ht="12.75" x14ac:dyDescent="0.2"/>
    <row r="91" spans="3:5" ht="12.75" x14ac:dyDescent="0.2">
      <c r="C91" t="s">
        <v>163</v>
      </c>
      <c r="E91" t="s">
        <v>133</v>
      </c>
    </row>
    <row r="92" spans="3:5" ht="12.75" x14ac:dyDescent="0.2">
      <c r="C92" t="s">
        <v>164</v>
      </c>
      <c r="E92" t="s">
        <v>165</v>
      </c>
    </row>
    <row r="93" spans="3:5" ht="12.75" x14ac:dyDescent="0.2">
      <c r="C93" t="s">
        <v>166</v>
      </c>
      <c r="E93" t="s">
        <v>133</v>
      </c>
    </row>
    <row r="94" spans="3:5" ht="12.75" x14ac:dyDescent="0.2">
      <c r="C94" t="s">
        <v>167</v>
      </c>
      <c r="E94" t="s">
        <v>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168</v>
      </c>
    </row>
    <row r="3" spans="1:5" ht="15" customHeight="1" x14ac:dyDescent="0.2">
      <c r="B3" t="s">
        <v>169</v>
      </c>
      <c r="E3" t="s">
        <v>160</v>
      </c>
    </row>
    <row r="4" spans="1:5" ht="15" customHeight="1" x14ac:dyDescent="0.2">
      <c r="B4" t="s">
        <v>170</v>
      </c>
      <c r="E4" t="s">
        <v>165</v>
      </c>
    </row>
    <row r="5" spans="1:5" ht="15" customHeight="1" x14ac:dyDescent="0.2">
      <c r="B5" t="s">
        <v>171</v>
      </c>
      <c r="E5" t="s">
        <v>165</v>
      </c>
    </row>
    <row r="7" spans="1:5" ht="15" customHeight="1" x14ac:dyDescent="0.2">
      <c r="A7" t="s">
        <v>172</v>
      </c>
    </row>
    <row r="9" spans="1:5" ht="15" customHeight="1" x14ac:dyDescent="0.2">
      <c r="B9" t="s">
        <v>173</v>
      </c>
      <c r="E9" t="s">
        <v>174</v>
      </c>
    </row>
    <row r="10" spans="1:5" ht="15" customHeight="1" x14ac:dyDescent="0.2">
      <c r="B10" t="s">
        <v>175</v>
      </c>
      <c r="E10" t="s">
        <v>176</v>
      </c>
    </row>
    <row r="11" spans="1:5" ht="15" customHeight="1" x14ac:dyDescent="0.2">
      <c r="B11" t="s">
        <v>177</v>
      </c>
      <c r="E11" t="s">
        <v>178</v>
      </c>
    </row>
    <row r="12" spans="1:5" ht="15" customHeight="1" x14ac:dyDescent="0.2">
      <c r="B12" t="s">
        <v>179</v>
      </c>
      <c r="E12" t="s">
        <v>180</v>
      </c>
    </row>
    <row r="14" spans="1:5" ht="15" customHeight="1" x14ac:dyDescent="0.2">
      <c r="A14" t="s">
        <v>4</v>
      </c>
    </row>
    <row r="16" spans="1:5" ht="15" customHeight="1" x14ac:dyDescent="0.2">
      <c r="B16" t="s">
        <v>181</v>
      </c>
      <c r="E16" t="s">
        <v>148</v>
      </c>
    </row>
    <row r="17" spans="2:5" ht="15" customHeight="1" x14ac:dyDescent="0.2">
      <c r="B17" t="s">
        <v>182</v>
      </c>
      <c r="E17" t="s">
        <v>165</v>
      </c>
    </row>
    <row r="18" spans="2:5" ht="15" customHeight="1" x14ac:dyDescent="0.2">
      <c r="B18" t="s">
        <v>183</v>
      </c>
      <c r="E18" t="s">
        <v>184</v>
      </c>
    </row>
    <row r="19" spans="2:5" ht="15" customHeight="1" x14ac:dyDescent="0.2">
      <c r="B19" t="s">
        <v>185</v>
      </c>
      <c r="E19" t="s">
        <v>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54.28515625" customWidth="1"/>
    <col min="4" max="4" width="11.85546875" customWidth="1"/>
  </cols>
  <sheetData>
    <row r="1" spans="1:5" ht="15" customHeight="1" x14ac:dyDescent="0.2">
      <c r="A1" t="s">
        <v>186</v>
      </c>
    </row>
    <row r="3" spans="1:5" ht="15" customHeight="1" x14ac:dyDescent="0.2">
      <c r="B3" s="9" t="s">
        <v>187</v>
      </c>
      <c r="C3" s="9" t="s">
        <v>188</v>
      </c>
      <c r="D3" s="9" t="s">
        <v>189</v>
      </c>
      <c r="E3" s="9"/>
    </row>
    <row r="4" spans="1:5" ht="15" customHeight="1" x14ac:dyDescent="0.2">
      <c r="B4" t="s">
        <v>2</v>
      </c>
      <c r="C4" t="s">
        <v>190</v>
      </c>
    </row>
    <row r="5" spans="1:5" ht="15" customHeight="1" x14ac:dyDescent="0.2">
      <c r="B5" t="s">
        <v>2</v>
      </c>
      <c r="C5" t="s">
        <v>191</v>
      </c>
      <c r="D5" t="s">
        <v>192</v>
      </c>
    </row>
    <row r="6" spans="1:5" ht="15" customHeight="1" x14ac:dyDescent="0.2">
      <c r="B6" t="s">
        <v>193</v>
      </c>
      <c r="C6" t="s">
        <v>194</v>
      </c>
    </row>
    <row r="7" spans="1:5" ht="15" customHeight="1" x14ac:dyDescent="0.2">
      <c r="B7" t="s">
        <v>195</v>
      </c>
      <c r="C7" t="s">
        <v>191</v>
      </c>
      <c r="D7" t="s">
        <v>196</v>
      </c>
    </row>
    <row r="8" spans="1:5" ht="15" customHeight="1" x14ac:dyDescent="0.2">
      <c r="B8" t="s">
        <v>197</v>
      </c>
      <c r="C8" t="s">
        <v>198</v>
      </c>
    </row>
    <row r="9" spans="1:5" ht="15" customHeight="1" x14ac:dyDescent="0.2">
      <c r="B9" t="s">
        <v>197</v>
      </c>
      <c r="C9" t="s">
        <v>199</v>
      </c>
    </row>
    <row r="10" spans="1:5" ht="15" customHeight="1" x14ac:dyDescent="0.2">
      <c r="B10" t="s">
        <v>200</v>
      </c>
      <c r="C10" t="s">
        <v>201</v>
      </c>
    </row>
    <row r="11" spans="1:5" ht="15" customHeight="1" x14ac:dyDescent="0.2">
      <c r="B11" t="s">
        <v>200</v>
      </c>
      <c r="C11" t="s">
        <v>191</v>
      </c>
      <c r="D11" t="s">
        <v>196</v>
      </c>
    </row>
    <row r="12" spans="1:5" ht="15" customHeight="1" x14ac:dyDescent="0.2">
      <c r="B12" t="s">
        <v>202</v>
      </c>
      <c r="C12" t="s">
        <v>203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115</v>
      </c>
      <c r="B1" t="s">
        <v>6</v>
      </c>
    </row>
    <row r="2" spans="1:13" ht="15" customHeight="1" x14ac:dyDescent="0.2">
      <c r="A2" t="s">
        <v>204</v>
      </c>
      <c r="B2" t="s">
        <v>205</v>
      </c>
    </row>
    <row r="4" spans="1:13" ht="15" customHeight="1" x14ac:dyDescent="0.2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1:13" ht="15" customHeight="1" x14ac:dyDescent="0.2">
      <c r="A5" s="34" t="s">
        <v>8</v>
      </c>
      <c r="B5" s="11" t="s">
        <v>17</v>
      </c>
      <c r="C5" s="11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35"/>
      <c r="I5" s="35"/>
      <c r="J5" s="35"/>
      <c r="K5" s="35"/>
      <c r="L5" s="35"/>
      <c r="M5" s="35"/>
    </row>
    <row r="6" spans="1:13" ht="15" customHeight="1" x14ac:dyDescent="0.2">
      <c r="A6" s="35"/>
      <c r="B6" s="13" t="s">
        <v>206</v>
      </c>
      <c r="C6" s="13" t="s">
        <v>206</v>
      </c>
      <c r="D6" s="14" t="s">
        <v>206</v>
      </c>
      <c r="E6" s="14" t="s">
        <v>206</v>
      </c>
      <c r="F6" s="14" t="s">
        <v>206</v>
      </c>
      <c r="G6" s="14" t="s">
        <v>206</v>
      </c>
      <c r="H6" s="35"/>
      <c r="I6" s="35"/>
      <c r="J6" s="35"/>
      <c r="K6" s="35"/>
      <c r="L6" s="35"/>
      <c r="M6" s="35"/>
    </row>
    <row r="7" spans="1:13" ht="15" customHeight="1" x14ac:dyDescent="0.2">
      <c r="A7" s="35"/>
      <c r="B7" s="15" t="s">
        <v>207</v>
      </c>
      <c r="C7" s="15" t="s">
        <v>207</v>
      </c>
      <c r="D7" s="16" t="s">
        <v>208</v>
      </c>
      <c r="E7" s="16" t="s">
        <v>208</v>
      </c>
      <c r="F7" s="16" t="s">
        <v>208</v>
      </c>
      <c r="G7" s="16" t="s">
        <v>208</v>
      </c>
      <c r="H7" s="35"/>
      <c r="I7" s="35"/>
      <c r="J7" s="35"/>
      <c r="K7" s="35"/>
      <c r="L7" s="35"/>
      <c r="M7" s="35"/>
    </row>
    <row r="8" spans="1:13" ht="15" customHeight="1" x14ac:dyDescent="0.2">
      <c r="A8" s="34" t="s">
        <v>9</v>
      </c>
      <c r="B8" s="11" t="s">
        <v>22</v>
      </c>
      <c r="C8" s="11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35"/>
      <c r="I8" s="35"/>
      <c r="J8" s="35"/>
      <c r="K8" s="35"/>
      <c r="L8" s="35"/>
      <c r="M8" s="35"/>
    </row>
    <row r="9" spans="1:13" ht="15" customHeight="1" x14ac:dyDescent="0.2">
      <c r="A9" s="35"/>
      <c r="B9" s="13" t="s">
        <v>206</v>
      </c>
      <c r="C9" s="13" t="s">
        <v>206</v>
      </c>
      <c r="D9" s="14" t="s">
        <v>206</v>
      </c>
      <c r="E9" s="14" t="s">
        <v>206</v>
      </c>
      <c r="F9" s="14" t="s">
        <v>206</v>
      </c>
      <c r="G9" s="14" t="s">
        <v>206</v>
      </c>
      <c r="H9" s="35"/>
      <c r="I9" s="35"/>
      <c r="J9" s="35"/>
      <c r="K9" s="35"/>
      <c r="L9" s="35"/>
      <c r="M9" s="35"/>
    </row>
    <row r="10" spans="1:13" ht="15" customHeight="1" x14ac:dyDescent="0.2">
      <c r="A10" s="35"/>
      <c r="B10" s="15" t="s">
        <v>209</v>
      </c>
      <c r="C10" s="15" t="s">
        <v>209</v>
      </c>
      <c r="D10" s="16" t="s">
        <v>208</v>
      </c>
      <c r="E10" s="16" t="s">
        <v>208</v>
      </c>
      <c r="F10" s="16" t="s">
        <v>208</v>
      </c>
      <c r="G10" s="16" t="s">
        <v>208</v>
      </c>
      <c r="H10" s="35"/>
      <c r="I10" s="35"/>
      <c r="J10" s="35"/>
      <c r="K10" s="35"/>
      <c r="L10" s="35"/>
      <c r="M10" s="35"/>
    </row>
    <row r="11" spans="1:13" ht="15" customHeight="1" x14ac:dyDescent="0.2">
      <c r="A11" s="34" t="s">
        <v>10</v>
      </c>
      <c r="B11" s="11" t="s">
        <v>27</v>
      </c>
      <c r="C11" s="11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35"/>
      <c r="I11" s="35"/>
      <c r="J11" s="35"/>
      <c r="K11" s="35"/>
      <c r="L11" s="35"/>
      <c r="M11" s="35"/>
    </row>
    <row r="12" spans="1:13" ht="15" customHeight="1" x14ac:dyDescent="0.2">
      <c r="A12" s="35"/>
      <c r="B12" s="13" t="s">
        <v>206</v>
      </c>
      <c r="C12" s="13" t="s">
        <v>206</v>
      </c>
      <c r="D12" s="14" t="s">
        <v>206</v>
      </c>
      <c r="E12" s="14" t="s">
        <v>206</v>
      </c>
      <c r="F12" s="14" t="s">
        <v>206</v>
      </c>
      <c r="G12" s="14" t="s">
        <v>206</v>
      </c>
      <c r="H12" s="35"/>
      <c r="I12" s="35"/>
      <c r="J12" s="35"/>
      <c r="K12" s="35"/>
      <c r="L12" s="35"/>
      <c r="M12" s="35"/>
    </row>
    <row r="13" spans="1:13" ht="15" customHeight="1" x14ac:dyDescent="0.2">
      <c r="A13" s="35"/>
      <c r="B13" s="15" t="s">
        <v>210</v>
      </c>
      <c r="C13" s="15" t="s">
        <v>210</v>
      </c>
      <c r="D13" s="16" t="s">
        <v>208</v>
      </c>
      <c r="E13" s="16" t="s">
        <v>208</v>
      </c>
      <c r="F13" s="16" t="s">
        <v>208</v>
      </c>
      <c r="G13" s="16" t="s">
        <v>208</v>
      </c>
      <c r="H13" s="35"/>
      <c r="I13" s="35"/>
      <c r="J13" s="35"/>
      <c r="K13" s="35"/>
      <c r="L13" s="35"/>
      <c r="M13" s="35"/>
    </row>
    <row r="14" spans="1:13" ht="15" customHeight="1" x14ac:dyDescent="0.2">
      <c r="A14" s="34" t="s">
        <v>11</v>
      </c>
      <c r="B14" s="11" t="s">
        <v>32</v>
      </c>
      <c r="C14" s="11" t="s">
        <v>32</v>
      </c>
      <c r="D14" s="12" t="s">
        <v>33</v>
      </c>
      <c r="E14" s="12" t="s">
        <v>34</v>
      </c>
      <c r="F14" s="12" t="s">
        <v>35</v>
      </c>
      <c r="G14" s="12" t="s">
        <v>36</v>
      </c>
      <c r="H14" s="35"/>
      <c r="I14" s="35"/>
      <c r="J14" s="35"/>
      <c r="K14" s="35"/>
      <c r="L14" s="35"/>
      <c r="M14" s="35"/>
    </row>
    <row r="15" spans="1:13" ht="15" customHeight="1" x14ac:dyDescent="0.2">
      <c r="A15" s="35"/>
      <c r="B15" s="13" t="s">
        <v>206</v>
      </c>
      <c r="C15" s="13" t="s">
        <v>206</v>
      </c>
      <c r="D15" s="14" t="s">
        <v>206</v>
      </c>
      <c r="E15" s="14" t="s">
        <v>206</v>
      </c>
      <c r="F15" s="14" t="s">
        <v>206</v>
      </c>
      <c r="G15" s="14" t="s">
        <v>206</v>
      </c>
      <c r="H15" s="35"/>
      <c r="I15" s="35"/>
      <c r="J15" s="35"/>
      <c r="K15" s="35"/>
      <c r="L15" s="35"/>
      <c r="M15" s="35"/>
    </row>
    <row r="16" spans="1:13" ht="15" customHeight="1" x14ac:dyDescent="0.2">
      <c r="A16" s="35"/>
      <c r="B16" s="15" t="s">
        <v>211</v>
      </c>
      <c r="C16" s="15" t="s">
        <v>211</v>
      </c>
      <c r="D16" s="16" t="s">
        <v>208</v>
      </c>
      <c r="E16" s="16" t="s">
        <v>208</v>
      </c>
      <c r="F16" s="16" t="s">
        <v>208</v>
      </c>
      <c r="G16" s="16" t="s">
        <v>208</v>
      </c>
      <c r="H16" s="35"/>
      <c r="I16" s="35"/>
      <c r="J16" s="35"/>
      <c r="K16" s="35"/>
      <c r="L16" s="35"/>
      <c r="M16" s="35"/>
    </row>
    <row r="17" spans="1:13" ht="15" customHeight="1" x14ac:dyDescent="0.2">
      <c r="A17" s="34" t="s">
        <v>12</v>
      </c>
      <c r="B17" s="11" t="s">
        <v>37</v>
      </c>
      <c r="C17" s="11" t="s">
        <v>37</v>
      </c>
      <c r="D17" s="12" t="s">
        <v>38</v>
      </c>
      <c r="E17" s="12" t="s">
        <v>39</v>
      </c>
      <c r="F17" s="12" t="s">
        <v>40</v>
      </c>
      <c r="G17" s="12" t="s">
        <v>41</v>
      </c>
      <c r="H17" s="35"/>
      <c r="I17" s="35"/>
      <c r="J17" s="35"/>
      <c r="K17" s="35"/>
      <c r="L17" s="35"/>
      <c r="M17" s="35"/>
    </row>
    <row r="18" spans="1:13" ht="15" customHeight="1" x14ac:dyDescent="0.2">
      <c r="A18" s="35"/>
      <c r="B18" s="13" t="s">
        <v>206</v>
      </c>
      <c r="C18" s="13" t="s">
        <v>206</v>
      </c>
      <c r="D18" s="14" t="s">
        <v>206</v>
      </c>
      <c r="E18" s="14" t="s">
        <v>206</v>
      </c>
      <c r="F18" s="14" t="s">
        <v>206</v>
      </c>
      <c r="G18" s="14" t="s">
        <v>206</v>
      </c>
      <c r="H18" s="35"/>
      <c r="I18" s="35"/>
      <c r="J18" s="35"/>
      <c r="K18" s="35"/>
      <c r="L18" s="35"/>
      <c r="M18" s="35"/>
    </row>
    <row r="19" spans="1:13" ht="15" customHeight="1" x14ac:dyDescent="0.2">
      <c r="A19" s="35"/>
      <c r="B19" s="15" t="s">
        <v>212</v>
      </c>
      <c r="C19" s="15" t="s">
        <v>212</v>
      </c>
      <c r="D19" s="16" t="s">
        <v>208</v>
      </c>
      <c r="E19" s="16" t="s">
        <v>208</v>
      </c>
      <c r="F19" s="16" t="s">
        <v>208</v>
      </c>
      <c r="G19" s="16" t="s">
        <v>208</v>
      </c>
      <c r="H19" s="35"/>
      <c r="I19" s="35"/>
      <c r="J19" s="35"/>
      <c r="K19" s="35"/>
      <c r="L19" s="35"/>
      <c r="M19" s="35"/>
    </row>
    <row r="20" spans="1:13" ht="15" customHeight="1" x14ac:dyDescent="0.2">
      <c r="A20" s="34" t="s">
        <v>13</v>
      </c>
      <c r="B20" s="11" t="s">
        <v>42</v>
      </c>
      <c r="C20" s="11" t="s">
        <v>42</v>
      </c>
      <c r="D20" s="12" t="s">
        <v>43</v>
      </c>
      <c r="E20" s="12" t="s">
        <v>44</v>
      </c>
      <c r="F20" s="12" t="s">
        <v>45</v>
      </c>
      <c r="G20" s="12" t="s">
        <v>46</v>
      </c>
      <c r="H20" s="35"/>
      <c r="I20" s="35"/>
      <c r="J20" s="35"/>
      <c r="K20" s="35"/>
      <c r="L20" s="35"/>
      <c r="M20" s="35"/>
    </row>
    <row r="21" spans="1:13" ht="15" customHeight="1" x14ac:dyDescent="0.2">
      <c r="A21" s="35"/>
      <c r="B21" s="13" t="s">
        <v>206</v>
      </c>
      <c r="C21" s="13" t="s">
        <v>206</v>
      </c>
      <c r="D21" s="14" t="s">
        <v>206</v>
      </c>
      <c r="E21" s="14" t="s">
        <v>206</v>
      </c>
      <c r="F21" s="14" t="s">
        <v>206</v>
      </c>
      <c r="G21" s="14" t="s">
        <v>206</v>
      </c>
      <c r="H21" s="35"/>
      <c r="I21" s="35"/>
      <c r="J21" s="35"/>
      <c r="K21" s="35"/>
      <c r="L21" s="35"/>
      <c r="M21" s="35"/>
    </row>
    <row r="22" spans="1:13" ht="15" customHeight="1" x14ac:dyDescent="0.2">
      <c r="A22" s="35"/>
      <c r="B22" s="15" t="s">
        <v>213</v>
      </c>
      <c r="C22" s="15" t="s">
        <v>213</v>
      </c>
      <c r="D22" s="16" t="s">
        <v>208</v>
      </c>
      <c r="E22" s="16" t="s">
        <v>208</v>
      </c>
      <c r="F22" s="16" t="s">
        <v>208</v>
      </c>
      <c r="G22" s="16" t="s">
        <v>208</v>
      </c>
      <c r="H22" s="35"/>
      <c r="I22" s="35"/>
      <c r="J22" s="35"/>
      <c r="K22" s="35"/>
      <c r="L22" s="35"/>
      <c r="M22" s="35"/>
    </row>
    <row r="23" spans="1:13" ht="15" customHeight="1" x14ac:dyDescent="0.2">
      <c r="A23" s="34" t="s">
        <v>14</v>
      </c>
      <c r="B23" s="12" t="s">
        <v>47</v>
      </c>
      <c r="C23" s="12" t="s">
        <v>48</v>
      </c>
      <c r="D23" s="12" t="s">
        <v>49</v>
      </c>
      <c r="E23" s="12" t="s">
        <v>50</v>
      </c>
      <c r="F23" s="12" t="s">
        <v>51</v>
      </c>
      <c r="G23" s="12" t="s">
        <v>52</v>
      </c>
      <c r="H23" s="35"/>
      <c r="I23" s="35"/>
      <c r="J23" s="35"/>
      <c r="K23" s="35"/>
      <c r="L23" s="35"/>
      <c r="M23" s="35"/>
    </row>
    <row r="24" spans="1:13" ht="15" customHeight="1" x14ac:dyDescent="0.2">
      <c r="A24" s="35"/>
      <c r="B24" s="14" t="s">
        <v>206</v>
      </c>
      <c r="C24" s="14" t="s">
        <v>206</v>
      </c>
      <c r="D24" s="14" t="s">
        <v>206</v>
      </c>
      <c r="E24" s="14" t="s">
        <v>206</v>
      </c>
      <c r="F24" s="14" t="s">
        <v>206</v>
      </c>
      <c r="G24" s="14" t="s">
        <v>206</v>
      </c>
      <c r="H24" s="35"/>
      <c r="I24" s="35"/>
      <c r="J24" s="35"/>
      <c r="K24" s="35"/>
      <c r="L24" s="35"/>
      <c r="M24" s="35"/>
    </row>
    <row r="25" spans="1:13" ht="15" customHeight="1" x14ac:dyDescent="0.2">
      <c r="A25" s="35"/>
      <c r="B25" s="16" t="s">
        <v>208</v>
      </c>
      <c r="C25" s="16" t="s">
        <v>208</v>
      </c>
      <c r="D25" s="16" t="s">
        <v>208</v>
      </c>
      <c r="E25" s="16" t="s">
        <v>208</v>
      </c>
      <c r="F25" s="16" t="s">
        <v>208</v>
      </c>
      <c r="G25" s="16" t="s">
        <v>208</v>
      </c>
      <c r="H25" s="35"/>
      <c r="I25" s="35"/>
      <c r="J25" s="35"/>
      <c r="K25" s="35"/>
      <c r="L25" s="35"/>
      <c r="M25" s="35"/>
    </row>
    <row r="26" spans="1:13" ht="15" customHeight="1" x14ac:dyDescent="0.2">
      <c r="A26" s="34" t="s">
        <v>15</v>
      </c>
      <c r="B26" s="17" t="s">
        <v>53</v>
      </c>
      <c r="C26" s="12" t="s">
        <v>54</v>
      </c>
      <c r="D26" s="12" t="s">
        <v>55</v>
      </c>
      <c r="E26" s="12" t="s">
        <v>56</v>
      </c>
      <c r="F26" s="12" t="s">
        <v>57</v>
      </c>
      <c r="G26" s="12" t="s">
        <v>58</v>
      </c>
      <c r="H26" s="35"/>
      <c r="I26" s="35"/>
      <c r="J26" s="35"/>
      <c r="K26" s="35"/>
      <c r="L26" s="35"/>
      <c r="M26" s="35"/>
    </row>
    <row r="27" spans="1:13" ht="15" customHeight="1" x14ac:dyDescent="0.2">
      <c r="A27" s="35"/>
      <c r="B27" s="18" t="s">
        <v>206</v>
      </c>
      <c r="C27" s="14" t="s">
        <v>206</v>
      </c>
      <c r="D27" s="14" t="s">
        <v>206</v>
      </c>
      <c r="E27" s="14" t="s">
        <v>206</v>
      </c>
      <c r="F27" s="14" t="s">
        <v>206</v>
      </c>
      <c r="G27" s="14" t="s">
        <v>206</v>
      </c>
      <c r="H27" s="35"/>
      <c r="I27" s="35"/>
      <c r="J27" s="35"/>
      <c r="K27" s="35"/>
      <c r="L27" s="35"/>
      <c r="M27" s="35"/>
    </row>
    <row r="28" spans="1:13" ht="15" customHeight="1" x14ac:dyDescent="0.2">
      <c r="A28" s="35"/>
      <c r="B28" s="19"/>
      <c r="C28" s="16" t="s">
        <v>208</v>
      </c>
      <c r="D28" s="16" t="s">
        <v>208</v>
      </c>
      <c r="E28" s="16" t="s">
        <v>208</v>
      </c>
      <c r="F28" s="16" t="s">
        <v>208</v>
      </c>
      <c r="G28" s="16" t="s">
        <v>208</v>
      </c>
      <c r="H28" s="35"/>
      <c r="I28" s="35"/>
      <c r="J28" s="35"/>
      <c r="K28" s="35"/>
      <c r="L28" s="35"/>
      <c r="M28" s="35"/>
    </row>
    <row r="33" spans="1:1" ht="15" customHeight="1" x14ac:dyDescent="0.2">
      <c r="A33" t="s">
        <v>3</v>
      </c>
    </row>
  </sheetData>
  <mergeCells count="56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Absorbance 1_01</vt:lpstr>
      <vt:lpstr>Standard Curve 1_02</vt:lpstr>
      <vt:lpstr>Blank Subtraction 1_03</vt:lpstr>
      <vt:lpstr>09_10_26_First trial</vt:lpstr>
      <vt:lpstr>09_17_26_Second trial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2026-09-10T22:16:17Z</dcterms:created>
  <dcterms:modified xsi:type="dcterms:W3CDTF">2026-10-07T21:12:50Z</dcterms:modified>
</cp:coreProperties>
</file>