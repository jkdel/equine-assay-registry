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ma2020_msstate_edu/Documents/Documents 1/ELISA Project/Submit to the equine registry/"/>
    </mc:Choice>
  </mc:AlternateContent>
  <xr:revisionPtr revIDLastSave="156" documentId="13_ncr:1_{9A83282A-24DD-48B4-B2BE-B97456C50FA8}" xr6:coauthVersionLast="47" xr6:coauthVersionMax="47" xr10:uidLastSave="{86BA9478-523B-4759-822D-ACDEFACCCEF7}"/>
  <bookViews>
    <workbookView xWindow="-120" yWindow="-120" windowWidth="29040" windowHeight="15720" firstSheet="2" activeTab="4" xr2:uid="{00000000-000D-0000-FFFF-FFFF00000000}"/>
  </bookViews>
  <sheets>
    <sheet name="Absorbance 1_01" sheetId="1" r:id="rId1"/>
    <sheet name="Standard Curve 1_02" sheetId="2" r:id="rId2"/>
    <sheet name="Blank Subtraction 1_03" sheetId="3" r:id="rId3"/>
    <sheet name="08_28_26_First trial" sheetId="4" r:id="rId4"/>
    <sheet name="09_02_26_Second trial" sheetId="11" r:id="rId5"/>
    <sheet name="General information" sheetId="5" r:id="rId6"/>
    <sheet name="Session information" sheetId="6" r:id="rId7"/>
    <sheet name="Instrument information" sheetId="7" r:id="rId8"/>
    <sheet name="Protocol parameters" sheetId="8" r:id="rId9"/>
    <sheet name="Run log" sheetId="9" r:id="rId10"/>
    <sheet name="Layout definitions" sheetId="10" r:id="rId11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7" i="11" l="1"/>
  <c r="L106" i="11"/>
  <c r="L105" i="11"/>
  <c r="L104" i="11"/>
  <c r="K100" i="11"/>
  <c r="K99" i="11"/>
  <c r="K98" i="11"/>
  <c r="K97" i="11"/>
  <c r="L90" i="11"/>
  <c r="L89" i="11"/>
  <c r="L88" i="11"/>
  <c r="L87" i="11"/>
  <c r="K83" i="11"/>
  <c r="K82" i="11"/>
  <c r="K81" i="11"/>
  <c r="K80" i="11"/>
  <c r="L102" i="4"/>
  <c r="L101" i="4"/>
  <c r="K96" i="4"/>
  <c r="K95" i="4"/>
  <c r="K77" i="4"/>
  <c r="K78" i="4"/>
  <c r="K79" i="4"/>
  <c r="K80" i="4"/>
  <c r="K76" i="4"/>
  <c r="L84" i="4"/>
  <c r="L85" i="4"/>
  <c r="L86" i="4"/>
  <c r="L83" i="4"/>
</calcChain>
</file>

<file path=xl/sharedStrings.xml><?xml version="1.0" encoding="utf-8"?>
<sst xmlns="http://schemas.openxmlformats.org/spreadsheetml/2006/main" count="1107" uniqueCount="300">
  <si>
    <t>Measurement results</t>
  </si>
  <si>
    <t>Equine_Leptin_Biomatik_08_28_26.skax</t>
  </si>
  <si>
    <t>2026-08-28T13:09:41-05:00</t>
  </si>
  <si>
    <t xml:space="preserve"> </t>
  </si>
  <si>
    <t>Absorbance 1</t>
  </si>
  <si>
    <t>Wavelength: 450 nm</t>
  </si>
  <si>
    <t>Plate 1</t>
  </si>
  <si>
    <t>Abs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</si>
  <si>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</si>
  <si>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</si>
  <si>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</si>
  <si>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</si>
  <si>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</si>
  <si>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</si>
  <si>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</si>
  <si>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</si>
  <si>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</si>
  <si>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Std70001</t>
  </si>
  <si>
    <t>Un0002</t>
  </si>
  <si>
    <t>Un0003</t>
  </si>
  <si>
    <t>Un0004</t>
  </si>
  <si>
    <t>Un0005</t>
  </si>
  <si>
    <t>Std60001</t>
  </si>
  <si>
    <t>Un0006</t>
  </si>
  <si>
    <t>Un0007</t>
  </si>
  <si>
    <t>Un0008</t>
  </si>
  <si>
    <t>Un0009</t>
  </si>
  <si>
    <t>Std50001</t>
  </si>
  <si>
    <t>Un0010</t>
  </si>
  <si>
    <t>Un0011</t>
  </si>
  <si>
    <t>Un0012</t>
  </si>
  <si>
    <t>Un0013</t>
  </si>
  <si>
    <t>Std40001</t>
  </si>
  <si>
    <t>Un0014</t>
  </si>
  <si>
    <t>Un0015</t>
  </si>
  <si>
    <t>Un0016</t>
  </si>
  <si>
    <t>Un0017</t>
  </si>
  <si>
    <t>Std30001</t>
  </si>
  <si>
    <t>Un0018</t>
  </si>
  <si>
    <t>Un0019</t>
  </si>
  <si>
    <t>Un0020</t>
  </si>
  <si>
    <t>Un0021</t>
  </si>
  <si>
    <t>Std20001</t>
  </si>
  <si>
    <t>Un0022</t>
  </si>
  <si>
    <t>Un0023</t>
  </si>
  <si>
    <t>Un0024</t>
  </si>
  <si>
    <t>Un0025</t>
  </si>
  <si>
    <t>Std10001</t>
  </si>
  <si>
    <t>Un0026</t>
  </si>
  <si>
    <t>Un0027</t>
  </si>
  <si>
    <t>Un0028</t>
  </si>
  <si>
    <t>Un0029</t>
  </si>
  <si>
    <t>Blank1</t>
  </si>
  <si>
    <t>Un0001</t>
  </si>
  <si>
    <t>Un0030</t>
  </si>
  <si>
    <t>Un0031</t>
  </si>
  <si>
    <t>Un0032</t>
  </si>
  <si>
    <t>Un0033</t>
  </si>
  <si>
    <t>Autoloading range A1 - M28</t>
  </si>
  <si>
    <t>Standard Curve 1</t>
  </si>
  <si>
    <t>Fit type: 4PL</t>
  </si>
  <si>
    <t>Concentration transformation: Logarithmic</t>
  </si>
  <si>
    <t>Signal transformation: Linear</t>
  </si>
  <si>
    <t>Saved curve: No</t>
  </si>
  <si>
    <t>Sample group: Group 1</t>
  </si>
  <si>
    <t>y = 0.530114 + ( (0.0764401 - 0.530114) / ( 1 + (x/12.5664)^-3.07404) )</t>
  </si>
  <si>
    <t>y = d + ( (a - d) / ( 1 + (x/c)^b) )</t>
  </si>
  <si>
    <t>Where:</t>
  </si>
  <si>
    <t>a =</t>
  </si>
  <si>
    <t>b =</t>
  </si>
  <si>
    <t>c =</t>
  </si>
  <si>
    <t>d =</t>
  </si>
  <si>
    <t>R²: 0.974</t>
  </si>
  <si>
    <t>Well</t>
  </si>
  <si>
    <t>Conc. [ng/mL]</t>
  </si>
  <si>
    <t>Original signal</t>
  </si>
  <si>
    <t>CV%</t>
  </si>
  <si>
    <t>Fitted signal</t>
  </si>
  <si>
    <t>Residual</t>
  </si>
  <si>
    <t>Average</t>
  </si>
  <si>
    <t>G01</t>
  </si>
  <si>
    <t>G02</t>
  </si>
  <si>
    <t>F01</t>
  </si>
  <si>
    <t>F02</t>
  </si>
  <si>
    <t>E01</t>
  </si>
  <si>
    <t>E02</t>
  </si>
  <si>
    <t>D01</t>
  </si>
  <si>
    <t>D02</t>
  </si>
  <si>
    <t>C01</t>
  </si>
  <si>
    <t>C02</t>
  </si>
  <si>
    <t>B01</t>
  </si>
  <si>
    <t>B02</t>
  </si>
  <si>
    <t>A01</t>
  </si>
  <si>
    <t>A02</t>
  </si>
  <si>
    <t>Signal</t>
  </si>
  <si>
    <t xml:space="preserve"> &lt; Min</t>
  </si>
  <si>
    <t xml:space="preserve"> &gt; Max</t>
  </si>
  <si>
    <t>Autoloading range A1 - M101</t>
  </si>
  <si>
    <t>Blank Subtraction 1</t>
  </si>
  <si>
    <t>Blank subtracted</t>
  </si>
  <si>
    <t>Autoloading range A1 - M31</t>
  </si>
  <si>
    <t>Standard Curve 2</t>
  </si>
  <si>
    <t>y = 0.466681 + ( (0.0130068 - 0.466681) / ( 1 + (x/12.5664)^-3.07404) )</t>
  </si>
  <si>
    <t>General information</t>
  </si>
  <si>
    <t>Report generated with SW version</t>
  </si>
  <si>
    <t>SkanIt Software 7.1 RE for Microplate Readers RE, ver. 7.1.0.36</t>
  </si>
  <si>
    <t>Time zone</t>
  </si>
  <si>
    <t>(UTC-06:00) Central Time (US &amp; Canada). Daylight saving time in effect: Offset from UTC is -05:00</t>
  </si>
  <si>
    <t>Session information</t>
  </si>
  <si>
    <t>Session name</t>
  </si>
  <si>
    <t>Session notes</t>
  </si>
  <si>
    <t>Executed with</t>
  </si>
  <si>
    <t>SkanIt Software for Microplate Readers RE, ver 7.1.0.36</t>
  </si>
  <si>
    <t>Execution time</t>
  </si>
  <si>
    <t>Instrument information</t>
  </si>
  <si>
    <t>Name</t>
  </si>
  <si>
    <t>Varioskan ALF</t>
  </si>
  <si>
    <t>ESW version</t>
  </si>
  <si>
    <t>1.00.6</t>
  </si>
  <si>
    <t>Set temperature</t>
  </si>
  <si>
    <t>37.00 °C</t>
  </si>
  <si>
    <t>Serial number</t>
  </si>
  <si>
    <t>3500-00622</t>
  </si>
  <si>
    <t>Instrument modules</t>
  </si>
  <si>
    <t>Excitation filter</t>
  </si>
  <si>
    <t>Excitation filter product number</t>
  </si>
  <si>
    <t>VF34525</t>
  </si>
  <si>
    <t>Blue fluorescence EX</t>
  </si>
  <si>
    <t>Excitation wavelength [nm]</t>
  </si>
  <si>
    <t>345</t>
  </si>
  <si>
    <t>Bandwidth</t>
  </si>
  <si>
    <t>25</t>
  </si>
  <si>
    <t>Permanent</t>
  </si>
  <si>
    <t>Yes</t>
  </si>
  <si>
    <t>Date and time of definition</t>
  </si>
  <si>
    <t>11/13/2025 10:30:00 AM</t>
  </si>
  <si>
    <t>VF48515</t>
  </si>
  <si>
    <t>Green fluorescence EX</t>
  </si>
  <si>
    <t>485</t>
  </si>
  <si>
    <t>15</t>
  </si>
  <si>
    <t>VF55515</t>
  </si>
  <si>
    <t>Orange fluorescence EX</t>
  </si>
  <si>
    <t>555</t>
  </si>
  <si>
    <t>Emission filter</t>
  </si>
  <si>
    <t>Emission filter product number</t>
  </si>
  <si>
    <t>VF45040</t>
  </si>
  <si>
    <t>Blue fluorescence EM</t>
  </si>
  <si>
    <t>Emission wavelength [nm]</t>
  </si>
  <si>
    <t>450</t>
  </si>
  <si>
    <t>40</t>
  </si>
  <si>
    <t>VF52515</t>
  </si>
  <si>
    <t>Green fluorescence EM</t>
  </si>
  <si>
    <t>525</t>
  </si>
  <si>
    <t>VF61545</t>
  </si>
  <si>
    <t>Orange fluorescence EM</t>
  </si>
  <si>
    <t>615</t>
  </si>
  <si>
    <t>45</t>
  </si>
  <si>
    <t>Filter pair</t>
  </si>
  <si>
    <t>Blue fluorescence</t>
  </si>
  <si>
    <t>Scaling factor</t>
  </si>
  <si>
    <t>1</t>
  </si>
  <si>
    <t>Green fluorescence</t>
  </si>
  <si>
    <t>Orange fluorescence</t>
  </si>
  <si>
    <t>Top optics</t>
  </si>
  <si>
    <t>Bottom optics</t>
  </si>
  <si>
    <t>No</t>
  </si>
  <si>
    <t>Photometric monochromator</t>
  </si>
  <si>
    <t>Incubator</t>
  </si>
  <si>
    <t>Protocol parameters</t>
  </si>
  <si>
    <t>Measurement order</t>
  </si>
  <si>
    <t>3</t>
  </si>
  <si>
    <t>Check temperature at start [°C]</t>
  </si>
  <si>
    <t>Plate with lid</t>
  </si>
  <si>
    <t>Shake 1</t>
  </si>
  <si>
    <t>Duration [hh:mm:ss]:</t>
  </si>
  <si>
    <t>00:00:20</t>
  </si>
  <si>
    <t>Shaking type</t>
  </si>
  <si>
    <t>Continuous</t>
  </si>
  <si>
    <t>Shaking method</t>
  </si>
  <si>
    <t>Orbital</t>
  </si>
  <si>
    <t>Shaking speed</t>
  </si>
  <si>
    <t>Medium</t>
  </si>
  <si>
    <t>Wavelength [nm]</t>
  </si>
  <si>
    <t>Use transmittance</t>
  </si>
  <si>
    <t>Measurement mode</t>
  </si>
  <si>
    <t>Fast</t>
  </si>
  <si>
    <t>Pathlength correction</t>
  </si>
  <si>
    <t>Run log</t>
  </si>
  <si>
    <t>Time</t>
  </si>
  <si>
    <t>Event</t>
  </si>
  <si>
    <t>Information</t>
  </si>
  <si>
    <t>Session Equine_Leptin_Biomatik_08_28_26.skax started</t>
  </si>
  <si>
    <t>2026-08-28T13:09:42-05:00</t>
  </si>
  <si>
    <t>Temperature</t>
  </si>
  <si>
    <t>37.0°C</t>
  </si>
  <si>
    <t>Step Shake 1 started</t>
  </si>
  <si>
    <t>2026-08-28T13:10:05-05:00</t>
  </si>
  <si>
    <t>Step Shake 1 ended</t>
  </si>
  <si>
    <t>Step Absorbance 1 started</t>
  </si>
  <si>
    <t>2026-08-28T13:10:28-05:00</t>
  </si>
  <si>
    <t>Step Absorbance 1 ended</t>
  </si>
  <si>
    <t>2026-08-28T13:10:32-05:00</t>
  </si>
  <si>
    <t>2026-08-28T13:10:33-05:00</t>
  </si>
  <si>
    <t>Session Equine_Leptin_Biomatik_08_28_26.skax ended</t>
  </si>
  <si>
    <t>Plate template</t>
  </si>
  <si>
    <t>ANSI/SBS Standard, 96-well</t>
  </si>
  <si>
    <t>Group 1</t>
  </si>
  <si>
    <t>1:1</t>
  </si>
  <si>
    <t>EtOH = ethanol extracted serum</t>
  </si>
  <si>
    <t>Sp = spike</t>
  </si>
  <si>
    <t>Serum 1X</t>
  </si>
  <si>
    <t>Serum 5X</t>
  </si>
  <si>
    <t>EtOH 1X</t>
  </si>
  <si>
    <t>EtOH 5X</t>
  </si>
  <si>
    <t>Std1 200</t>
  </si>
  <si>
    <t>Std2 100</t>
  </si>
  <si>
    <t>Std3 50</t>
  </si>
  <si>
    <t>Std4 25</t>
  </si>
  <si>
    <t>Std5 12.5</t>
  </si>
  <si>
    <t>Std6 6.25</t>
  </si>
  <si>
    <t>Std7 3.12</t>
  </si>
  <si>
    <t>Sp8 25 EtOH (1500X)</t>
  </si>
  <si>
    <t>Serum 100X</t>
  </si>
  <si>
    <t>Serum 500X</t>
  </si>
  <si>
    <t>Serum 1500X</t>
  </si>
  <si>
    <t>EtOH 100X</t>
  </si>
  <si>
    <t>EtOH 500X</t>
  </si>
  <si>
    <t>EtOH 1500X</t>
  </si>
  <si>
    <t>Sp1 25 (Serum 1X)</t>
  </si>
  <si>
    <t>Sp2 25 (Serum 100X)</t>
  </si>
  <si>
    <t>Sp3 25 (Serum 500X)</t>
  </si>
  <si>
    <t>Sp5 25 (EtOH 1X)</t>
  </si>
  <si>
    <t>Sp6 25 (EtOH 100X)</t>
  </si>
  <si>
    <t>Sp7 25 (EtOH 500X)</t>
  </si>
  <si>
    <t>Sp4 25 (Serum 1500X)</t>
  </si>
  <si>
    <t>For Regular Serum</t>
  </si>
  <si>
    <t>Dilution factor</t>
  </si>
  <si>
    <t>Measured</t>
  </si>
  <si>
    <t>Corrected</t>
  </si>
  <si>
    <t>Recovery (%)</t>
  </si>
  <si>
    <t>Expected</t>
  </si>
  <si>
    <t>Experimental</t>
  </si>
  <si>
    <t>Serum treated with EtOH</t>
  </si>
  <si>
    <t>min</t>
  </si>
  <si>
    <t>Max</t>
  </si>
  <si>
    <t>N/A</t>
  </si>
  <si>
    <t>max</t>
  </si>
  <si>
    <t>Horse Leptin_Biomatik_09_02_2026_2nd Trial.skax</t>
  </si>
  <si>
    <t>2026-09-02T17:16:58-05:00</t>
  </si>
  <si>
    <t>Standard Curve 3</t>
  </si>
  <si>
    <t>Fit type: 5PL</t>
  </si>
  <si>
    <t>y = 0.687035 + ( (0.0187653 - 0.687035) / (( 1 + (x/2.97804)^-1.90404))^10 )</t>
  </si>
  <si>
    <t>y = d + ( (a - d) / (( 1 + (x/c)^b))^e )</t>
  </si>
  <si>
    <t>e =</t>
  </si>
  <si>
    <t>R²: 0.994</t>
  </si>
  <si>
    <t>Conc. [pg/mL]</t>
  </si>
  <si>
    <t>NaN</t>
  </si>
  <si>
    <t>H02</t>
  </si>
  <si>
    <t>Std70002</t>
  </si>
  <si>
    <t>Std80001</t>
  </si>
  <si>
    <t>Std90001</t>
  </si>
  <si>
    <t>Std9 0.78</t>
  </si>
  <si>
    <t>Std8 1.56</t>
  </si>
  <si>
    <t>Sp1 25 (Serum 100X)</t>
  </si>
  <si>
    <t>Serum 250X</t>
  </si>
  <si>
    <t>Sp2 25 (Serum 250X)</t>
  </si>
  <si>
    <t>Serum 1000X</t>
  </si>
  <si>
    <t>Sp4 25 (Serum 1000X)</t>
  </si>
  <si>
    <t>Sp5 25 (EtOH 100X)</t>
  </si>
  <si>
    <t>EtOH 250X</t>
  </si>
  <si>
    <t>Sp6 25 (EtOH 250X)</t>
  </si>
  <si>
    <t>EtOH 1000X</t>
  </si>
  <si>
    <t>Sp8 25 (EtOH 1000X)</t>
  </si>
  <si>
    <t>Autoloading range A1 - M105</t>
  </si>
  <si>
    <t>Spike 1 (Serum 1X)</t>
  </si>
  <si>
    <t>Spike 2 (Serum 100X)</t>
  </si>
  <si>
    <t>Spike 3 (Serum 500X)</t>
  </si>
  <si>
    <t>Spike 4 (Serum 1500X</t>
  </si>
  <si>
    <t>Spike 5 (EtOH 1X)</t>
  </si>
  <si>
    <t>Spike 6 (EtOH 100X)</t>
  </si>
  <si>
    <t>Spike 7 (EtOH 500X)</t>
  </si>
  <si>
    <t>Spike 8 (EtOH 1500X</t>
  </si>
  <si>
    <t>Spikes Preparation</t>
  </si>
  <si>
    <t>Sample vol (uL)</t>
  </si>
  <si>
    <t>Std vol (uL)</t>
  </si>
  <si>
    <t>Std Conc (pg/mL)</t>
  </si>
  <si>
    <t>Spike Conc (pg/mL)</t>
  </si>
  <si>
    <t>3.125 pg/mL</t>
  </si>
  <si>
    <t>6.25 pg/mL</t>
  </si>
  <si>
    <t>12.5 pg/mLL</t>
  </si>
  <si>
    <t>25 pg/mL</t>
  </si>
  <si>
    <t>50 pg/mLL</t>
  </si>
  <si>
    <t>100 pg/mL</t>
  </si>
  <si>
    <t>200 pg/mL</t>
  </si>
  <si>
    <t>Spike 1 (Serum 100X)</t>
  </si>
  <si>
    <t>Spike 2 (Serum 250X)</t>
  </si>
  <si>
    <t>Spike 4 (Serum 1000X</t>
  </si>
  <si>
    <t>Spike 5 (EtOH 100X)</t>
  </si>
  <si>
    <t>Spike 6 (EtOH 250X)</t>
  </si>
  <si>
    <t>Spike 8 (EtOH 1000X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</si>
</sst>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00"/>
    <numFmt numFmtId="166" formatCode="0.00000"/>
    <numFmt numFmtId="167" formatCode="0.000000"/>
    <numFmt numFmtId="168" formatCode="0.000"/>
    <numFmt numFmtId="169" formatCode="0.00000000"/>
  </numFmts>
  <fonts count="3" x14ac:knownFonts="1">
    <font>
      <sz val="10"/>
      <name val="Arial"/>
    </font>
    <font>
      <sz val="8"/>
      <name val="Arial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66BFA6"/>
      </patternFill>
    </fill>
    <fill>
      <patternFill patternType="solid">
        <fgColor rgb="FF5685C4"/>
      </patternFill>
    </fill>
    <fill>
      <patternFill patternType="solid">
        <fgColor rgb="FFE7F4F5"/>
      </patternFill>
    </fill>
    <fill>
      <patternFill patternType="solid">
        <fgColor rgb="FFF3DBDA"/>
        <bgColor rgb="FF000000"/>
      </patternFill>
    </fill>
    <fill>
      <patternFill patternType="solid">
        <fgColor rgb="FFB6CCE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3" borderId="2" xfId="0" applyFill="1" applyBorder="1"/>
    <xf numFmtId="0" fontId="0" fillId="2" borderId="3" xfId="0" applyFill="1" applyBorder="1"/>
    <xf numFmtId="0" fontId="0" fillId="3" borderId="3" xfId="0" applyFill="1" applyBorder="1"/>
    <xf numFmtId="0" fontId="0" fillId="2" borderId="4" xfId="0" applyFill="1" applyBorder="1"/>
    <xf numFmtId="0" fontId="0" fillId="3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0" xfId="0" applyFill="1"/>
    <xf numFmtId="0" fontId="0" fillId="6" borderId="0" xfId="0" applyFill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164" fontId="0" fillId="0" borderId="5" xfId="0" applyNumberFormat="1" applyBorder="1" applyAlignment="1">
      <alignment horizontal="left"/>
    </xf>
    <xf numFmtId="167" fontId="0" fillId="0" borderId="5" xfId="0" applyNumberFormat="1" applyBorder="1" applyAlignment="1">
      <alignment horizontal="left"/>
    </xf>
    <xf numFmtId="166" fontId="0" fillId="0" borderId="5" xfId="0" applyNumberFormat="1" applyBorder="1" applyAlignment="1">
      <alignment horizontal="left"/>
    </xf>
    <xf numFmtId="169" fontId="0" fillId="0" borderId="5" xfId="0" applyNumberFormat="1" applyBorder="1" applyAlignment="1">
      <alignment horizontal="left"/>
    </xf>
    <xf numFmtId="165" fontId="0" fillId="0" borderId="5" xfId="0" applyNumberForma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8" fontId="0" fillId="0" borderId="5" xfId="0" applyNumberFormat="1" applyBorder="1" applyAlignment="1">
      <alignment horizontal="left"/>
    </xf>
    <xf numFmtId="0" fontId="0" fillId="8" borderId="0" xfId="0" applyFill="1" applyAlignment="1">
      <alignment horizontal="left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7" borderId="0" xfId="0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7</xdr:col>
      <xdr:colOff>0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6</xdr:col>
      <xdr:colOff>1133475</xdr:colOff>
      <xdr:row>33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476500"/>
          <a:ext cx="6858000" cy="38100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1133475</xdr:colOff>
      <xdr:row>32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92C27-1CAB-4CD7-BE1A-802838553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286000"/>
          <a:ext cx="6858000" cy="3810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bsorbance 1_01"/>
  <dimension ref="A1:M32"/>
  <sheetViews>
    <sheetView topLeftCell="A3" workbookViewId="0">
      <selection activeCell="A33" sqref="A33:XFD33"/>
    </sheetView>
  </sheetViews>
  <sheetFormatPr defaultColWidth="9.140625" defaultRowHeight="15" customHeight="1" x14ac:dyDescent="0.2"/>
  <cols>
    <col min="1" max="1" width="10" customWidth="1"/>
    <col min="2" max="2" width="11.85546875" customWidth="1"/>
    <col min="3" max="3" width="18.5703125" customWidth="1"/>
    <col min="4" max="4" width="12.5703125" customWidth="1"/>
    <col min="5" max="5" width="11.85546875" customWidth="1"/>
    <col min="6" max="6" width="20" customWidth="1"/>
    <col min="7" max="7" width="20.425781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4</v>
      </c>
    </row>
    <row r="6" spans="1:13" ht="15" customHeight="1" x14ac:dyDescent="0.2">
      <c r="A6" t="s">
        <v>5</v>
      </c>
    </row>
    <row r="7" spans="1:13" ht="15" customHeight="1" x14ac:dyDescent="0.2">
      <c r="A7" t="s">
        <v>3</v>
      </c>
    </row>
    <row r="8" spans="1:13" ht="15" customHeight="1" x14ac:dyDescent="0.2">
      <c r="A8" t="s">
        <v>6</v>
      </c>
    </row>
    <row r="9" spans="1:13" ht="15" customHeight="1" x14ac:dyDescent="0.2">
      <c r="A9" t="s">
        <v>3</v>
      </c>
    </row>
    <row r="10" spans="1:13" ht="15" customHeight="1" x14ac:dyDescent="0.2">
      <c r="A10" s="21" t="s">
        <v>7</v>
      </c>
      <c r="B10" s="23">
        <v>1</v>
      </c>
      <c r="C10" s="23">
        <v>2</v>
      </c>
      <c r="D10" s="23">
        <v>3</v>
      </c>
      <c r="E10" s="23">
        <v>4</v>
      </c>
      <c r="F10" s="23">
        <v>5</v>
      </c>
      <c r="G10" s="23">
        <v>6</v>
      </c>
      <c r="H10" s="1"/>
      <c r="I10" s="1"/>
      <c r="J10" s="1"/>
      <c r="K10" s="1"/>
      <c r="L10" s="1"/>
      <c r="M10" s="1"/>
    </row>
    <row r="11" spans="1:13" ht="15" customHeight="1" x14ac:dyDescent="0.2">
      <c r="A11" s="21" t="s">
        <v>8</v>
      </c>
      <c r="B11" s="24">
        <v>0.47720000000000001</v>
      </c>
      <c r="C11" s="24">
        <v>0.50739999999999996</v>
      </c>
      <c r="D11" s="24">
        <v>2.4817999999999998</v>
      </c>
      <c r="E11" s="24">
        <v>2.0539999999999998</v>
      </c>
      <c r="F11" s="24">
        <v>0.7006</v>
      </c>
      <c r="G11" s="24">
        <v>0.5806</v>
      </c>
    </row>
    <row r="12" spans="1:13" ht="15" customHeight="1" x14ac:dyDescent="0.2">
      <c r="A12" s="21" t="s">
        <v>9</v>
      </c>
      <c r="B12" s="24">
        <v>0.5363</v>
      </c>
      <c r="C12" s="24">
        <v>0.52349999999999997</v>
      </c>
      <c r="D12" s="24">
        <v>0.27139999999999997</v>
      </c>
      <c r="E12" s="24">
        <v>0.2853</v>
      </c>
      <c r="F12" s="24">
        <v>7.1400000000000005E-2</v>
      </c>
      <c r="G12" s="24">
        <v>7.5899999999999995E-2</v>
      </c>
    </row>
    <row r="13" spans="1:13" ht="15" customHeight="1" x14ac:dyDescent="0.2">
      <c r="A13" s="21" t="s">
        <v>10</v>
      </c>
      <c r="B13" s="24">
        <v>0.24310000000000001</v>
      </c>
      <c r="C13" s="24">
        <v>0.30809999999999998</v>
      </c>
      <c r="D13" s="24">
        <v>0.57940000000000003</v>
      </c>
      <c r="E13" s="24">
        <v>0.49480000000000002</v>
      </c>
      <c r="F13" s="24">
        <v>9.8599999999999993E-2</v>
      </c>
      <c r="G13" s="24">
        <v>9.8000000000000004E-2</v>
      </c>
    </row>
    <row r="14" spans="1:13" ht="15" customHeight="1" x14ac:dyDescent="0.2">
      <c r="A14" s="21" t="s">
        <v>11</v>
      </c>
      <c r="B14" s="24">
        <v>0.14860000000000001</v>
      </c>
      <c r="C14" s="24">
        <v>0.1678</v>
      </c>
      <c r="D14" s="24">
        <v>0.62629999999999997</v>
      </c>
      <c r="E14" s="24">
        <v>0.48380000000000001</v>
      </c>
      <c r="F14" s="24">
        <v>0.1203</v>
      </c>
      <c r="G14" s="24">
        <v>0.1265</v>
      </c>
    </row>
    <row r="15" spans="1:13" ht="15" customHeight="1" x14ac:dyDescent="0.2">
      <c r="A15" s="21" t="s">
        <v>12</v>
      </c>
      <c r="B15" s="24">
        <v>9.2399999999999996E-2</v>
      </c>
      <c r="C15" s="24">
        <v>0.1084</v>
      </c>
      <c r="D15" s="24">
        <v>3.4617</v>
      </c>
      <c r="E15" s="24">
        <v>2.5164</v>
      </c>
      <c r="F15" s="24">
        <v>0.13669999999999999</v>
      </c>
      <c r="G15" s="24">
        <v>0.11409999999999999</v>
      </c>
    </row>
    <row r="16" spans="1:13" ht="15" customHeight="1" x14ac:dyDescent="0.2">
      <c r="A16" s="21" t="s">
        <v>13</v>
      </c>
      <c r="B16" s="24">
        <v>6.1400000000000003E-2</v>
      </c>
      <c r="C16" s="24">
        <v>6.8599999999999994E-2</v>
      </c>
      <c r="D16" s="24">
        <v>1.2275</v>
      </c>
      <c r="E16" s="24">
        <v>1.1386000000000001</v>
      </c>
      <c r="F16" s="24">
        <v>5.6099999999999997E-2</v>
      </c>
      <c r="G16" s="24">
        <v>5.8900000000000001E-2</v>
      </c>
    </row>
    <row r="17" spans="1:13" ht="15" customHeight="1" x14ac:dyDescent="0.2">
      <c r="A17" s="21" t="s">
        <v>14</v>
      </c>
      <c r="B17" s="24">
        <v>5.16E-2</v>
      </c>
      <c r="C17" s="24">
        <v>5.2699999999999997E-2</v>
      </c>
      <c r="D17" s="24">
        <v>0.189</v>
      </c>
      <c r="E17" s="24">
        <v>0.2056</v>
      </c>
      <c r="F17" s="24">
        <v>8.1699999999999995E-2</v>
      </c>
      <c r="G17" s="24">
        <v>6.7699999999999996E-2</v>
      </c>
    </row>
    <row r="18" spans="1:13" ht="15" customHeight="1" x14ac:dyDescent="0.2">
      <c r="A18" s="21" t="s">
        <v>15</v>
      </c>
      <c r="B18" s="24">
        <v>6.3399999999999998E-2</v>
      </c>
      <c r="C18" s="24">
        <v>0.14280000000000001</v>
      </c>
      <c r="D18" s="24">
        <v>0.41610000000000003</v>
      </c>
      <c r="E18" s="24">
        <v>0.34449999999999997</v>
      </c>
      <c r="F18" s="24">
        <v>0.14779999999999999</v>
      </c>
      <c r="G18" s="24">
        <v>0.14419999999999999</v>
      </c>
    </row>
    <row r="20" spans="1:13" ht="15" customHeight="1" x14ac:dyDescent="0.2">
      <c r="A20" s="21" t="s">
        <v>16</v>
      </c>
      <c r="B20" s="22">
        <v>1</v>
      </c>
      <c r="C20" s="22">
        <v>2</v>
      </c>
      <c r="D20" s="22">
        <v>3</v>
      </c>
      <c r="E20" s="22">
        <v>4</v>
      </c>
      <c r="F20" s="22">
        <v>5</v>
      </c>
      <c r="G20" s="22">
        <v>6</v>
      </c>
      <c r="H20" s="1"/>
      <c r="I20" s="1"/>
      <c r="J20" s="1"/>
      <c r="K20" s="1"/>
      <c r="L20" s="1"/>
      <c r="M20" s="1"/>
    </row>
    <row r="21" spans="1:13" ht="15" customHeight="1" x14ac:dyDescent="0.2">
      <c r="A21" s="21" t="s">
        <v>8</v>
      </c>
      <c r="B21" s="21" t="s">
        <v>220</v>
      </c>
      <c r="C21" s="21" t="s">
        <v>220</v>
      </c>
      <c r="D21" s="21" t="s">
        <v>211</v>
      </c>
      <c r="E21" s="21" t="s">
        <v>211</v>
      </c>
      <c r="F21" s="21" t="s">
        <v>227</v>
      </c>
      <c r="G21" s="21" t="s">
        <v>227</v>
      </c>
    </row>
    <row r="22" spans="1:13" ht="15" customHeight="1" x14ac:dyDescent="0.2">
      <c r="A22" s="21" t="s">
        <v>9</v>
      </c>
      <c r="B22" s="21" t="s">
        <v>219</v>
      </c>
      <c r="C22" s="21" t="s">
        <v>219</v>
      </c>
      <c r="D22" s="21" t="s">
        <v>222</v>
      </c>
      <c r="E22" s="21" t="s">
        <v>222</v>
      </c>
      <c r="F22" s="21" t="s">
        <v>228</v>
      </c>
      <c r="G22" s="21" t="s">
        <v>228</v>
      </c>
    </row>
    <row r="23" spans="1:13" ht="15" customHeight="1" x14ac:dyDescent="0.2">
      <c r="A23" s="21" t="s">
        <v>10</v>
      </c>
      <c r="B23" s="21" t="s">
        <v>218</v>
      </c>
      <c r="C23" s="21" t="s">
        <v>218</v>
      </c>
      <c r="D23" s="21" t="s">
        <v>223</v>
      </c>
      <c r="E23" s="21" t="s">
        <v>223</v>
      </c>
      <c r="F23" s="21" t="s">
        <v>229</v>
      </c>
      <c r="G23" s="21" t="s">
        <v>229</v>
      </c>
    </row>
    <row r="24" spans="1:13" ht="15" customHeight="1" x14ac:dyDescent="0.2">
      <c r="A24" s="21" t="s">
        <v>11</v>
      </c>
      <c r="B24" s="21" t="s">
        <v>217</v>
      </c>
      <c r="C24" s="21" t="s">
        <v>217</v>
      </c>
      <c r="D24" s="21" t="s">
        <v>224</v>
      </c>
      <c r="E24" s="21" t="s">
        <v>224</v>
      </c>
      <c r="F24" s="21" t="s">
        <v>230</v>
      </c>
      <c r="G24" s="21" t="s">
        <v>230</v>
      </c>
    </row>
    <row r="25" spans="1:13" ht="15" customHeight="1" x14ac:dyDescent="0.2">
      <c r="A25" s="21" t="s">
        <v>12</v>
      </c>
      <c r="B25" s="21" t="s">
        <v>216</v>
      </c>
      <c r="C25" s="21" t="s">
        <v>216</v>
      </c>
      <c r="D25" s="21" t="s">
        <v>210</v>
      </c>
      <c r="E25" s="21" t="s">
        <v>212</v>
      </c>
      <c r="F25" s="21" t="s">
        <v>234</v>
      </c>
      <c r="G25" s="21" t="s">
        <v>234</v>
      </c>
    </row>
    <row r="26" spans="1:13" ht="15" customHeight="1" x14ac:dyDescent="0.2">
      <c r="A26" s="21" t="s">
        <v>13</v>
      </c>
      <c r="B26" s="21" t="s">
        <v>215</v>
      </c>
      <c r="C26" s="21" t="s">
        <v>215</v>
      </c>
      <c r="D26" s="21" t="s">
        <v>213</v>
      </c>
      <c r="E26" s="21" t="s">
        <v>213</v>
      </c>
      <c r="F26" s="21" t="s">
        <v>231</v>
      </c>
      <c r="G26" s="21" t="s">
        <v>231</v>
      </c>
    </row>
    <row r="27" spans="1:13" ht="15" customHeight="1" x14ac:dyDescent="0.2">
      <c r="A27" s="21" t="s">
        <v>14</v>
      </c>
      <c r="B27" s="21" t="s">
        <v>214</v>
      </c>
      <c r="C27" s="21" t="s">
        <v>214</v>
      </c>
      <c r="D27" s="21" t="s">
        <v>225</v>
      </c>
      <c r="E27" s="21" t="s">
        <v>225</v>
      </c>
      <c r="F27" s="21" t="s">
        <v>232</v>
      </c>
      <c r="G27" s="21" t="s">
        <v>232</v>
      </c>
    </row>
    <row r="28" spans="1:13" ht="15" customHeight="1" x14ac:dyDescent="0.2">
      <c r="A28" s="21" t="s">
        <v>15</v>
      </c>
      <c r="B28" s="21" t="s">
        <v>52</v>
      </c>
      <c r="C28" s="21" t="s">
        <v>221</v>
      </c>
      <c r="D28" s="21" t="s">
        <v>226</v>
      </c>
      <c r="E28" s="21" t="s">
        <v>226</v>
      </c>
      <c r="F28" s="21" t="s">
        <v>233</v>
      </c>
      <c r="G28" s="21" t="s">
        <v>233</v>
      </c>
    </row>
    <row r="30" spans="1:13" ht="15" customHeight="1" x14ac:dyDescent="0.2">
      <c r="A30" t="s">
        <v>58</v>
      </c>
    </row>
    <row r="31" spans="1:13" ht="15" customHeight="1" x14ac:dyDescent="0.2">
      <c r="E31" s="19" t="s">
        <v>208</v>
      </c>
      <c r="F31" s="19"/>
    </row>
    <row r="32" spans="1:13" ht="15" customHeight="1" x14ac:dyDescent="0.2">
      <c r="E32" s="20" t="s">
        <v>209</v>
      </c>
      <c r="F32" s="20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tandard Curve 1_02"/>
  <dimension ref="A1:M105"/>
  <sheetViews>
    <sheetView topLeftCell="A80" workbookViewId="0">
      <selection activeCell="A83" sqref="A83"/>
    </sheetView>
  </sheetViews>
  <sheetFormatPr defaultColWidth="9.140625" defaultRowHeight="15" customHeight="1" x14ac:dyDescent="0.2"/>
  <cols>
    <col min="1" max="1" width="9.5703125" customWidth="1"/>
    <col min="2" max="2" width="11.28515625" customWidth="1"/>
    <col min="3" max="3" width="18.5703125" customWidth="1"/>
    <col min="4" max="5" width="12.140625" customWidth="1"/>
    <col min="6" max="7" width="19.5703125" customWidth="1"/>
    <col min="8" max="10" width="3.140625" customWidth="1"/>
    <col min="11" max="13" width="4.14062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59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5</v>
      </c>
    </row>
    <row r="11" spans="1:1" ht="15" customHeight="1" x14ac:dyDescent="0.2">
      <c r="A11" t="s">
        <v>63</v>
      </c>
    </row>
    <row r="12" spans="1:1" ht="15" customHeight="1" x14ac:dyDescent="0.2">
      <c r="A12" t="s">
        <v>64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65</v>
      </c>
    </row>
    <row r="38" spans="1:7" ht="15" customHeight="1" x14ac:dyDescent="0.2">
      <c r="A38" t="s">
        <v>66</v>
      </c>
    </row>
    <row r="39" spans="1:7" ht="12.75" x14ac:dyDescent="0.2">
      <c r="A39" t="s">
        <v>67</v>
      </c>
    </row>
    <row r="40" spans="1:7" ht="12.75" x14ac:dyDescent="0.2">
      <c r="A40" t="s">
        <v>68</v>
      </c>
      <c r="B40" s="2">
        <v>7.6440099999999997E-2</v>
      </c>
    </row>
    <row r="41" spans="1:7" ht="12.75" x14ac:dyDescent="0.2">
      <c r="A41" t="s">
        <v>69</v>
      </c>
      <c r="B41" s="3">
        <v>-3.0740400000000001</v>
      </c>
    </row>
    <row r="42" spans="1:7" ht="12.75" x14ac:dyDescent="0.2">
      <c r="A42" t="s">
        <v>70</v>
      </c>
      <c r="B42" s="4">
        <v>12.5664</v>
      </c>
    </row>
    <row r="43" spans="1:7" ht="12.75" x14ac:dyDescent="0.2">
      <c r="A43" t="s">
        <v>71</v>
      </c>
      <c r="B43" s="5">
        <v>0.53011399999999997</v>
      </c>
    </row>
    <row r="44" spans="1:7" ht="12.75" x14ac:dyDescent="0.2"/>
    <row r="45" spans="1:7" ht="12.75" x14ac:dyDescent="0.2">
      <c r="A45" t="s">
        <v>72</v>
      </c>
    </row>
    <row r="46" spans="1:7" ht="12.75" x14ac:dyDescent="0.2">
      <c r="A46" t="s">
        <v>3</v>
      </c>
    </row>
    <row r="47" spans="1:7" ht="12.75" x14ac:dyDescent="0.2">
      <c r="A47" t="s">
        <v>73</v>
      </c>
      <c r="B47" t="s">
        <v>16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</row>
    <row r="48" spans="1:7" ht="12.75" x14ac:dyDescent="0.2">
      <c r="A48" t="s">
        <v>79</v>
      </c>
      <c r="B48" t="s">
        <v>47</v>
      </c>
      <c r="C48" s="6">
        <v>200</v>
      </c>
      <c r="D48" s="2">
        <v>5.2136500000000002E-2</v>
      </c>
      <c r="E48" s="3">
        <v>1.52322</v>
      </c>
      <c r="F48" s="2">
        <v>7.6531799999999997E-2</v>
      </c>
      <c r="G48" s="2">
        <v>-2.4395300000000002E-2</v>
      </c>
    </row>
    <row r="49" spans="1:7" ht="12.75" x14ac:dyDescent="0.2">
      <c r="A49" t="s">
        <v>80</v>
      </c>
      <c r="B49" t="s">
        <v>47</v>
      </c>
      <c r="C49" s="6">
        <v>200</v>
      </c>
      <c r="D49" s="2">
        <v>5.15749E-2</v>
      </c>
      <c r="F49" s="2">
        <v>7.6531799999999997E-2</v>
      </c>
      <c r="G49" s="2">
        <v>-2.4956900000000001E-2</v>
      </c>
    </row>
    <row r="50" spans="1:7" ht="12.75" x14ac:dyDescent="0.2">
      <c r="A50" t="s">
        <v>81</v>
      </c>
      <c r="B50" t="s">
        <v>47</v>
      </c>
      <c r="C50" s="6">
        <v>200</v>
      </c>
      <c r="D50" s="2">
        <v>5.2698000000000002E-2</v>
      </c>
      <c r="F50" s="2">
        <v>7.6531799999999997E-2</v>
      </c>
      <c r="G50" s="2">
        <v>-2.3833799999999999E-2</v>
      </c>
    </row>
    <row r="51" spans="1:7" ht="12.75" x14ac:dyDescent="0.2">
      <c r="A51" t="s">
        <v>79</v>
      </c>
      <c r="B51" t="s">
        <v>42</v>
      </c>
      <c r="C51" s="6">
        <v>100</v>
      </c>
      <c r="D51" s="2">
        <v>6.5021700000000002E-2</v>
      </c>
      <c r="E51" s="3">
        <v>7.8745399999999997</v>
      </c>
      <c r="F51" s="2">
        <v>7.7210899999999999E-2</v>
      </c>
      <c r="G51" s="2">
        <v>-1.2189200000000001E-2</v>
      </c>
    </row>
    <row r="52" spans="1:7" ht="12.75" x14ac:dyDescent="0.2">
      <c r="A52" t="s">
        <v>82</v>
      </c>
      <c r="B52" t="s">
        <v>42</v>
      </c>
      <c r="C52" s="6">
        <v>100</v>
      </c>
      <c r="D52" s="2">
        <v>6.1401200000000003E-2</v>
      </c>
      <c r="F52" s="2">
        <v>7.7210899999999999E-2</v>
      </c>
      <c r="G52" s="2">
        <v>-1.5809699999999999E-2</v>
      </c>
    </row>
    <row r="53" spans="1:7" ht="12.75" x14ac:dyDescent="0.2">
      <c r="A53" t="s">
        <v>83</v>
      </c>
      <c r="B53" t="s">
        <v>42</v>
      </c>
      <c r="C53" s="6">
        <v>100</v>
      </c>
      <c r="D53" s="2">
        <v>6.86422E-2</v>
      </c>
      <c r="F53" s="2">
        <v>7.7210899999999999E-2</v>
      </c>
      <c r="G53" s="7">
        <v>-8.5687200000000002E-3</v>
      </c>
    </row>
    <row r="54" spans="1:7" ht="12.75" x14ac:dyDescent="0.2">
      <c r="A54" t="s">
        <v>79</v>
      </c>
      <c r="B54" t="s">
        <v>37</v>
      </c>
      <c r="C54" s="4">
        <v>50</v>
      </c>
      <c r="D54" s="5">
        <v>0.100411</v>
      </c>
      <c r="E54" s="4">
        <v>11.301600000000001</v>
      </c>
      <c r="F54" s="2">
        <v>8.2850400000000005E-2</v>
      </c>
      <c r="G54" s="2">
        <v>1.7560300000000001E-2</v>
      </c>
    </row>
    <row r="55" spans="1:7" ht="12.75" x14ac:dyDescent="0.2">
      <c r="A55" t="s">
        <v>84</v>
      </c>
      <c r="B55" t="s">
        <v>37</v>
      </c>
      <c r="C55" s="4">
        <v>50</v>
      </c>
      <c r="D55" s="2">
        <v>9.2386499999999996E-2</v>
      </c>
      <c r="F55" s="2">
        <v>8.2850400000000005E-2</v>
      </c>
      <c r="G55" s="7">
        <v>9.5360800000000006E-3</v>
      </c>
    </row>
    <row r="56" spans="1:7" ht="12.75" x14ac:dyDescent="0.2">
      <c r="A56" t="s">
        <v>85</v>
      </c>
      <c r="B56" t="s">
        <v>37</v>
      </c>
      <c r="C56" s="4">
        <v>50</v>
      </c>
      <c r="D56" s="5">
        <v>0.108435</v>
      </c>
      <c r="F56" s="2">
        <v>8.2850400000000005E-2</v>
      </c>
      <c r="G56" s="2">
        <v>2.5584599999999999E-2</v>
      </c>
    </row>
    <row r="57" spans="1:7" ht="12.75" x14ac:dyDescent="0.2">
      <c r="A57" t="s">
        <v>79</v>
      </c>
      <c r="B57" t="s">
        <v>32</v>
      </c>
      <c r="C57" s="4">
        <v>25</v>
      </c>
      <c r="D57" s="5">
        <v>0.15822800000000001</v>
      </c>
      <c r="E57" s="3">
        <v>8.5915099999999995</v>
      </c>
      <c r="F57" s="5">
        <v>0.12529999999999999</v>
      </c>
      <c r="G57" s="2">
        <v>3.2927900000000003E-2</v>
      </c>
    </row>
    <row r="58" spans="1:7" ht="12.75" x14ac:dyDescent="0.2">
      <c r="A58" t="s">
        <v>86</v>
      </c>
      <c r="B58" t="s">
        <v>32</v>
      </c>
      <c r="C58" s="4">
        <v>25</v>
      </c>
      <c r="D58" s="5">
        <v>0.148615</v>
      </c>
      <c r="F58" s="5">
        <v>0.12529999999999999</v>
      </c>
      <c r="G58" s="2">
        <v>2.33154E-2</v>
      </c>
    </row>
    <row r="59" spans="1:7" ht="12.75" x14ac:dyDescent="0.2">
      <c r="A59" t="s">
        <v>87</v>
      </c>
      <c r="B59" t="s">
        <v>32</v>
      </c>
      <c r="C59" s="4">
        <v>25</v>
      </c>
      <c r="D59" s="5">
        <v>0.16783999999999999</v>
      </c>
      <c r="F59" s="5">
        <v>0.12529999999999999</v>
      </c>
      <c r="G59" s="2">
        <v>4.2540399999999999E-2</v>
      </c>
    </row>
    <row r="60" spans="1:7" ht="12.75" x14ac:dyDescent="0.2">
      <c r="A60" t="s">
        <v>79</v>
      </c>
      <c r="B60" t="s">
        <v>27</v>
      </c>
      <c r="C60" s="4">
        <v>12.5</v>
      </c>
      <c r="D60" s="5">
        <v>0.27559400000000001</v>
      </c>
      <c r="E60" s="4">
        <v>16.692799999999998</v>
      </c>
      <c r="F60" s="5">
        <v>0.30512400000000001</v>
      </c>
      <c r="G60" s="2">
        <v>-2.95296E-2</v>
      </c>
    </row>
    <row r="61" spans="1:7" ht="12.75" x14ac:dyDescent="0.2">
      <c r="A61" t="s">
        <v>88</v>
      </c>
      <c r="B61" t="s">
        <v>27</v>
      </c>
      <c r="C61" s="4">
        <v>12.5</v>
      </c>
      <c r="D61" s="5">
        <v>0.243064</v>
      </c>
      <c r="F61" s="5">
        <v>0.30512400000000001</v>
      </c>
      <c r="G61" s="2">
        <v>-6.2059599999999999E-2</v>
      </c>
    </row>
    <row r="62" spans="1:7" ht="12.75" x14ac:dyDescent="0.2">
      <c r="A62" t="s">
        <v>89</v>
      </c>
      <c r="B62" t="s">
        <v>27</v>
      </c>
      <c r="C62" s="4">
        <v>12.5</v>
      </c>
      <c r="D62" s="5">
        <v>0.30812400000000001</v>
      </c>
      <c r="F62" s="5">
        <v>0.30512400000000001</v>
      </c>
      <c r="G62" s="7">
        <v>3.0004099999999998E-3</v>
      </c>
    </row>
    <row r="63" spans="1:7" ht="12.75" x14ac:dyDescent="0.2">
      <c r="A63" t="s">
        <v>79</v>
      </c>
      <c r="B63" t="s">
        <v>22</v>
      </c>
      <c r="C63" s="3">
        <v>6.25</v>
      </c>
      <c r="D63" s="5">
        <v>0.52990300000000001</v>
      </c>
      <c r="E63" s="3">
        <v>1.70231</v>
      </c>
      <c r="F63" s="5">
        <v>0.48265599999999997</v>
      </c>
      <c r="G63" s="2">
        <v>4.7246099999999999E-2</v>
      </c>
    </row>
    <row r="64" spans="1:7" ht="12.75" x14ac:dyDescent="0.2">
      <c r="A64" t="s">
        <v>90</v>
      </c>
      <c r="B64" t="s">
        <v>22</v>
      </c>
      <c r="C64" s="3">
        <v>6.25</v>
      </c>
      <c r="D64" s="5">
        <v>0.53628100000000001</v>
      </c>
      <c r="F64" s="5">
        <v>0.48265599999999997</v>
      </c>
      <c r="G64" s="2">
        <v>5.3624600000000001E-2</v>
      </c>
    </row>
    <row r="65" spans="1:13" ht="12.75" x14ac:dyDescent="0.2">
      <c r="A65" t="s">
        <v>91</v>
      </c>
      <c r="B65" t="s">
        <v>22</v>
      </c>
      <c r="C65" s="3">
        <v>6.25</v>
      </c>
      <c r="D65" s="5">
        <v>0.52352399999999999</v>
      </c>
      <c r="F65" s="5">
        <v>0.48265599999999997</v>
      </c>
      <c r="G65" s="2">
        <v>4.0867599999999997E-2</v>
      </c>
    </row>
    <row r="66" spans="1:13" ht="12.75" x14ac:dyDescent="0.2">
      <c r="A66" t="s">
        <v>79</v>
      </c>
      <c r="B66" t="s">
        <v>17</v>
      </c>
      <c r="C66" s="3">
        <v>3.125</v>
      </c>
      <c r="D66" s="5">
        <v>0.49228699999999997</v>
      </c>
      <c r="E66" s="3">
        <v>4.3437299999999999</v>
      </c>
      <c r="F66" s="5">
        <v>0.52390700000000001</v>
      </c>
      <c r="G66" s="2">
        <v>-3.1620200000000001E-2</v>
      </c>
    </row>
    <row r="67" spans="1:13" ht="12.75" x14ac:dyDescent="0.2">
      <c r="A67" t="s">
        <v>92</v>
      </c>
      <c r="B67" t="s">
        <v>17</v>
      </c>
      <c r="C67" s="3">
        <v>3.125</v>
      </c>
      <c r="D67" s="5">
        <v>0.47716599999999998</v>
      </c>
      <c r="F67" s="5">
        <v>0.52390700000000001</v>
      </c>
      <c r="G67" s="2">
        <v>-4.6740700000000003E-2</v>
      </c>
    </row>
    <row r="68" spans="1:13" ht="12.75" x14ac:dyDescent="0.2">
      <c r="A68" t="s">
        <v>93</v>
      </c>
      <c r="B68" t="s">
        <v>17</v>
      </c>
      <c r="C68" s="3">
        <v>3.125</v>
      </c>
      <c r="D68" s="5">
        <v>0.50740700000000005</v>
      </c>
      <c r="F68" s="5">
        <v>0.52390700000000001</v>
      </c>
      <c r="G68" s="2">
        <v>-1.6499699999999999E-2</v>
      </c>
    </row>
    <row r="69" spans="1:13" ht="12.75" x14ac:dyDescent="0.2"/>
    <row r="70" spans="1:13" ht="12.75" x14ac:dyDescent="0.2"/>
    <row r="71" spans="1:13" ht="12.75" x14ac:dyDescent="0.2">
      <c r="A71" t="s">
        <v>6</v>
      </c>
    </row>
    <row r="72" spans="1:13" ht="12.75" x14ac:dyDescent="0.2">
      <c r="A72" t="s">
        <v>3</v>
      </c>
    </row>
    <row r="73" spans="1:13" ht="12.75" x14ac:dyDescent="0.2">
      <c r="A73" s="23" t="s">
        <v>94</v>
      </c>
      <c r="B73" s="23">
        <v>1</v>
      </c>
      <c r="C73" s="23">
        <v>2</v>
      </c>
      <c r="D73" s="23">
        <v>3</v>
      </c>
      <c r="E73" s="23">
        <v>4</v>
      </c>
      <c r="F73" s="23">
        <v>5</v>
      </c>
      <c r="G73" s="23">
        <v>6</v>
      </c>
      <c r="H73" s="1"/>
      <c r="I73" s="1"/>
      <c r="J73" s="1"/>
      <c r="K73" s="1"/>
      <c r="L73" s="1"/>
      <c r="M73" s="1"/>
    </row>
    <row r="74" spans="1:13" ht="12.75" x14ac:dyDescent="0.2">
      <c r="A74" s="23" t="s">
        <v>8</v>
      </c>
      <c r="B74" s="25">
        <v>0.47716599999999998</v>
      </c>
      <c r="C74" s="25">
        <v>0.50740700000000005</v>
      </c>
      <c r="D74" s="26">
        <v>2.4818199999999999</v>
      </c>
      <c r="E74" s="26">
        <v>2.0540400000000001</v>
      </c>
      <c r="F74" s="25">
        <v>0.70062000000000002</v>
      </c>
      <c r="G74" s="25">
        <v>0.58057999999999998</v>
      </c>
    </row>
    <row r="75" spans="1:13" ht="12.75" x14ac:dyDescent="0.2">
      <c r="A75" s="23" t="s">
        <v>9</v>
      </c>
      <c r="B75" s="25">
        <v>0.53628100000000001</v>
      </c>
      <c r="C75" s="25">
        <v>0.52352399999999999</v>
      </c>
      <c r="D75" s="25">
        <v>0.27135599999999999</v>
      </c>
      <c r="E75" s="25">
        <v>0.28526899999999999</v>
      </c>
      <c r="F75" s="28">
        <v>7.1396799999999996E-2</v>
      </c>
      <c r="G75" s="28">
        <v>7.5895400000000002E-2</v>
      </c>
    </row>
    <row r="76" spans="1:13" ht="12.75" x14ac:dyDescent="0.2">
      <c r="A76" s="23" t="s">
        <v>10</v>
      </c>
      <c r="B76" s="25">
        <v>0.243064</v>
      </c>
      <c r="C76" s="25">
        <v>0.30812400000000001</v>
      </c>
      <c r="D76" s="25">
        <v>0.57938199999999995</v>
      </c>
      <c r="E76" s="25">
        <v>0.49475000000000002</v>
      </c>
      <c r="F76" s="28">
        <v>9.8558000000000007E-2</v>
      </c>
      <c r="G76" s="28">
        <v>9.8039200000000007E-2</v>
      </c>
    </row>
    <row r="77" spans="1:13" ht="12.75" x14ac:dyDescent="0.2">
      <c r="A77" s="23" t="s">
        <v>11</v>
      </c>
      <c r="B77" s="25">
        <v>0.148615</v>
      </c>
      <c r="C77" s="25">
        <v>0.16783999999999999</v>
      </c>
      <c r="D77" s="25">
        <v>0.62628300000000003</v>
      </c>
      <c r="E77" s="25">
        <v>0.483767</v>
      </c>
      <c r="F77" s="25">
        <v>0.12026299999999999</v>
      </c>
      <c r="G77" s="25">
        <v>0.12654699999999999</v>
      </c>
    </row>
    <row r="78" spans="1:13" ht="12.75" x14ac:dyDescent="0.2">
      <c r="A78" s="23" t="s">
        <v>12</v>
      </c>
      <c r="B78" s="28">
        <v>9.2386499999999996E-2</v>
      </c>
      <c r="C78" s="25">
        <v>0.108435</v>
      </c>
      <c r="D78" s="26">
        <v>3.4616799999999999</v>
      </c>
      <c r="E78" s="26">
        <v>2.5163600000000002</v>
      </c>
      <c r="F78" s="25">
        <v>0.136713</v>
      </c>
      <c r="G78" s="25">
        <v>0.11413</v>
      </c>
    </row>
    <row r="79" spans="1:13" ht="12.75" x14ac:dyDescent="0.2">
      <c r="A79" s="23" t="s">
        <v>13</v>
      </c>
      <c r="B79" s="28">
        <v>6.1401200000000003E-2</v>
      </c>
      <c r="C79" s="28">
        <v>6.86422E-2</v>
      </c>
      <c r="D79" s="26">
        <v>1.2274700000000001</v>
      </c>
      <c r="E79" s="26">
        <v>1.1385700000000001</v>
      </c>
      <c r="F79" s="28">
        <v>5.6120799999999998E-2</v>
      </c>
      <c r="G79" s="28">
        <v>5.8944000000000003E-2</v>
      </c>
    </row>
    <row r="80" spans="1:13" ht="12.75" x14ac:dyDescent="0.2">
      <c r="A80" s="23" t="s">
        <v>14</v>
      </c>
      <c r="B80" s="28">
        <v>5.15749E-2</v>
      </c>
      <c r="C80" s="28">
        <v>5.2698000000000002E-2</v>
      </c>
      <c r="D80" s="25">
        <v>0.18904199999999999</v>
      </c>
      <c r="E80" s="25">
        <v>0.205619</v>
      </c>
      <c r="F80" s="28">
        <v>8.1674200000000002E-2</v>
      </c>
      <c r="G80" s="28">
        <v>6.7720699999999995E-2</v>
      </c>
    </row>
    <row r="81" spans="1:13" ht="12.75" x14ac:dyDescent="0.2">
      <c r="A81" s="23" t="s">
        <v>15</v>
      </c>
      <c r="B81" s="23"/>
      <c r="C81" s="25">
        <v>0.14280499999999999</v>
      </c>
      <c r="D81" s="25">
        <v>0.416074</v>
      </c>
      <c r="E81" s="25">
        <v>0.34450799999999998</v>
      </c>
      <c r="F81" s="25">
        <v>0.14780199999999999</v>
      </c>
      <c r="G81" s="25">
        <v>0.14418600000000001</v>
      </c>
    </row>
    <row r="82" spans="1:13" ht="12.75" x14ac:dyDescent="0.2">
      <c r="A82" s="30"/>
      <c r="B82" s="30"/>
      <c r="C82" s="30"/>
      <c r="D82" s="30"/>
      <c r="E82" s="30"/>
      <c r="F82" s="30"/>
      <c r="G82" s="30"/>
    </row>
    <row r="83" spans="1:13" ht="12.75" x14ac:dyDescent="0.2">
      <c r="A83" s="23" t="s">
        <v>255</v>
      </c>
      <c r="B83" s="23">
        <v>1</v>
      </c>
      <c r="C83" s="23">
        <v>2</v>
      </c>
      <c r="D83" s="23">
        <v>3</v>
      </c>
      <c r="E83" s="23">
        <v>4</v>
      </c>
      <c r="F83" s="23">
        <v>5</v>
      </c>
      <c r="G83" s="23">
        <v>6</v>
      </c>
      <c r="H83" s="1"/>
      <c r="I83" s="1"/>
      <c r="J83" s="1"/>
      <c r="K83" s="1"/>
      <c r="L83" s="1"/>
      <c r="M83" s="1"/>
    </row>
    <row r="84" spans="1:13" ht="12.75" x14ac:dyDescent="0.2">
      <c r="A84" s="23" t="s">
        <v>8</v>
      </c>
      <c r="B84" s="26">
        <v>6.5053200000000002</v>
      </c>
      <c r="C84" s="26">
        <v>4.8236999999999997</v>
      </c>
      <c r="D84" s="23" t="s">
        <v>95</v>
      </c>
      <c r="E84" s="23" t="s">
        <v>95</v>
      </c>
      <c r="F84" s="23" t="s">
        <v>95</v>
      </c>
      <c r="G84" s="23" t="s">
        <v>95</v>
      </c>
    </row>
    <row r="85" spans="1:13" ht="12.75" x14ac:dyDescent="0.2">
      <c r="A85" s="23" t="s">
        <v>9</v>
      </c>
      <c r="B85" s="23" t="s">
        <v>95</v>
      </c>
      <c r="C85" s="26">
        <v>3.1873</v>
      </c>
      <c r="D85" s="24">
        <v>13.7796</v>
      </c>
      <c r="E85" s="24">
        <v>13.2339</v>
      </c>
      <c r="F85" s="23" t="s">
        <v>96</v>
      </c>
      <c r="G85" s="23" t="s">
        <v>96</v>
      </c>
    </row>
    <row r="86" spans="1:13" ht="12.75" x14ac:dyDescent="0.2">
      <c r="A86" s="23" t="s">
        <v>10</v>
      </c>
      <c r="B86" s="24">
        <v>14.998699999999999</v>
      </c>
      <c r="C86" s="24">
        <v>12.392899999999999</v>
      </c>
      <c r="D86" s="23" t="s">
        <v>95</v>
      </c>
      <c r="E86" s="26">
        <v>5.6257400000000004</v>
      </c>
      <c r="F86" s="24">
        <v>33.033099999999997</v>
      </c>
      <c r="G86" s="24">
        <v>33.302100000000003</v>
      </c>
    </row>
    <row r="87" spans="1:13" ht="12.75" x14ac:dyDescent="0.2">
      <c r="A87" s="23" t="s">
        <v>11</v>
      </c>
      <c r="B87" s="24">
        <v>21.599299999999999</v>
      </c>
      <c r="C87" s="24">
        <v>19.668500000000002</v>
      </c>
      <c r="D87" s="23" t="s">
        <v>95</v>
      </c>
      <c r="E87" s="26">
        <v>6.1965300000000001</v>
      </c>
      <c r="F87" s="24">
        <v>26.004999999999999</v>
      </c>
      <c r="G87" s="24">
        <v>24.770900000000001</v>
      </c>
    </row>
    <row r="88" spans="1:13" ht="12.75" x14ac:dyDescent="0.2">
      <c r="A88" s="23" t="s">
        <v>12</v>
      </c>
      <c r="B88" s="24">
        <v>36.912599999999998</v>
      </c>
      <c r="C88" s="24">
        <v>29.074999999999999</v>
      </c>
      <c r="D88" s="23" t="s">
        <v>95</v>
      </c>
      <c r="E88" s="23" t="s">
        <v>95</v>
      </c>
      <c r="F88" s="24">
        <v>23.133500000000002</v>
      </c>
      <c r="G88" s="24">
        <v>27.444500000000001</v>
      </c>
    </row>
    <row r="89" spans="1:13" ht="12.75" x14ac:dyDescent="0.2">
      <c r="A89" s="23" t="s">
        <v>13</v>
      </c>
      <c r="B89" s="23" t="s">
        <v>96</v>
      </c>
      <c r="C89" s="23" t="s">
        <v>96</v>
      </c>
      <c r="D89" s="23" t="s">
        <v>95</v>
      </c>
      <c r="E89" s="23" t="s">
        <v>95</v>
      </c>
      <c r="F89" s="23" t="s">
        <v>96</v>
      </c>
      <c r="G89" s="23" t="s">
        <v>96</v>
      </c>
    </row>
    <row r="90" spans="1:13" ht="12.75" x14ac:dyDescent="0.2">
      <c r="A90" s="23" t="s">
        <v>14</v>
      </c>
      <c r="B90" s="23" t="s">
        <v>96</v>
      </c>
      <c r="C90" s="23" t="s">
        <v>96</v>
      </c>
      <c r="D90" s="24">
        <v>18.021000000000001</v>
      </c>
      <c r="E90" s="24">
        <v>16.956499999999998</v>
      </c>
      <c r="F90" s="24">
        <v>53.454000000000001</v>
      </c>
      <c r="G90" s="23" t="s">
        <v>96</v>
      </c>
    </row>
    <row r="91" spans="1:13" ht="12.75" x14ac:dyDescent="0.2">
      <c r="A91" s="23" t="s">
        <v>15</v>
      </c>
      <c r="B91" s="23"/>
      <c r="C91" s="24">
        <v>22.3066</v>
      </c>
      <c r="D91" s="26">
        <v>8.8111200000000007</v>
      </c>
      <c r="E91" s="24">
        <v>11.15</v>
      </c>
      <c r="F91" s="24">
        <v>21.694099999999999</v>
      </c>
      <c r="G91" s="24">
        <v>22.131900000000002</v>
      </c>
    </row>
    <row r="92" spans="1:13" ht="12.75" x14ac:dyDescent="0.2"/>
    <row r="93" spans="1:13" ht="12.75" x14ac:dyDescent="0.2">
      <c r="A93" s="21" t="s">
        <v>16</v>
      </c>
      <c r="B93" s="22">
        <v>1</v>
      </c>
      <c r="C93" s="22">
        <v>2</v>
      </c>
      <c r="D93" s="22">
        <v>3</v>
      </c>
      <c r="E93" s="22">
        <v>4</v>
      </c>
      <c r="F93" s="22">
        <v>5</v>
      </c>
      <c r="G93" s="22">
        <v>6</v>
      </c>
      <c r="H93" s="1"/>
      <c r="I93" s="1"/>
      <c r="J93" s="1"/>
      <c r="K93" s="1"/>
      <c r="L93" s="1"/>
      <c r="M93" s="1"/>
    </row>
    <row r="94" spans="1:13" ht="12.75" x14ac:dyDescent="0.2">
      <c r="A94" s="21" t="s">
        <v>8</v>
      </c>
      <c r="B94" s="21" t="s">
        <v>220</v>
      </c>
      <c r="C94" s="21" t="s">
        <v>220</v>
      </c>
      <c r="D94" s="21" t="s">
        <v>211</v>
      </c>
      <c r="E94" s="21" t="s">
        <v>211</v>
      </c>
      <c r="F94" s="21" t="s">
        <v>227</v>
      </c>
      <c r="G94" s="21" t="s">
        <v>227</v>
      </c>
    </row>
    <row r="95" spans="1:13" ht="12.75" x14ac:dyDescent="0.2">
      <c r="A95" s="21" t="s">
        <v>9</v>
      </c>
      <c r="B95" s="21" t="s">
        <v>219</v>
      </c>
      <c r="C95" s="21" t="s">
        <v>219</v>
      </c>
      <c r="D95" s="21" t="s">
        <v>222</v>
      </c>
      <c r="E95" s="21" t="s">
        <v>222</v>
      </c>
      <c r="F95" s="21" t="s">
        <v>228</v>
      </c>
      <c r="G95" s="21" t="s">
        <v>228</v>
      </c>
    </row>
    <row r="96" spans="1:13" ht="12.75" x14ac:dyDescent="0.2">
      <c r="A96" s="21" t="s">
        <v>10</v>
      </c>
      <c r="B96" s="21" t="s">
        <v>218</v>
      </c>
      <c r="C96" s="21" t="s">
        <v>218</v>
      </c>
      <c r="D96" s="21" t="s">
        <v>223</v>
      </c>
      <c r="E96" s="21" t="s">
        <v>223</v>
      </c>
      <c r="F96" s="21" t="s">
        <v>229</v>
      </c>
      <c r="G96" s="21" t="s">
        <v>229</v>
      </c>
    </row>
    <row r="97" spans="1:7" ht="12.75" x14ac:dyDescent="0.2">
      <c r="A97" s="21" t="s">
        <v>11</v>
      </c>
      <c r="B97" s="21" t="s">
        <v>217</v>
      </c>
      <c r="C97" s="21" t="s">
        <v>217</v>
      </c>
      <c r="D97" s="21" t="s">
        <v>224</v>
      </c>
      <c r="E97" s="21" t="s">
        <v>224</v>
      </c>
      <c r="F97" s="21" t="s">
        <v>230</v>
      </c>
      <c r="G97" s="21" t="s">
        <v>230</v>
      </c>
    </row>
    <row r="98" spans="1:7" ht="12.75" x14ac:dyDescent="0.2">
      <c r="A98" s="21" t="s">
        <v>12</v>
      </c>
      <c r="B98" s="21" t="s">
        <v>216</v>
      </c>
      <c r="C98" s="21" t="s">
        <v>216</v>
      </c>
      <c r="D98" s="21" t="s">
        <v>210</v>
      </c>
      <c r="E98" s="21" t="s">
        <v>212</v>
      </c>
      <c r="F98" s="21" t="s">
        <v>234</v>
      </c>
      <c r="G98" s="21" t="s">
        <v>234</v>
      </c>
    </row>
    <row r="99" spans="1:7" ht="12.75" x14ac:dyDescent="0.2">
      <c r="A99" s="21" t="s">
        <v>13</v>
      </c>
      <c r="B99" s="21" t="s">
        <v>215</v>
      </c>
      <c r="C99" s="21" t="s">
        <v>215</v>
      </c>
      <c r="D99" s="21" t="s">
        <v>213</v>
      </c>
      <c r="E99" s="21" t="s">
        <v>213</v>
      </c>
      <c r="F99" s="21" t="s">
        <v>231</v>
      </c>
      <c r="G99" s="21" t="s">
        <v>231</v>
      </c>
    </row>
    <row r="100" spans="1:7" ht="12.75" x14ac:dyDescent="0.2">
      <c r="A100" s="21" t="s">
        <v>14</v>
      </c>
      <c r="B100" s="21" t="s">
        <v>214</v>
      </c>
      <c r="C100" s="21" t="s">
        <v>214</v>
      </c>
      <c r="D100" s="21" t="s">
        <v>225</v>
      </c>
      <c r="E100" s="21" t="s">
        <v>225</v>
      </c>
      <c r="F100" s="21" t="s">
        <v>232</v>
      </c>
      <c r="G100" s="21" t="s">
        <v>232</v>
      </c>
    </row>
    <row r="101" spans="1:7" ht="12.75" x14ac:dyDescent="0.2">
      <c r="A101" s="21" t="s">
        <v>15</v>
      </c>
      <c r="B101" s="21" t="s">
        <v>52</v>
      </c>
      <c r="C101" s="21" t="s">
        <v>221</v>
      </c>
      <c r="D101" s="21" t="s">
        <v>226</v>
      </c>
      <c r="E101" s="21" t="s">
        <v>226</v>
      </c>
      <c r="F101" s="21" t="s">
        <v>233</v>
      </c>
      <c r="G101" s="21" t="s">
        <v>233</v>
      </c>
    </row>
    <row r="103" spans="1:7" ht="12.75" x14ac:dyDescent="0.2">
      <c r="A103" t="s">
        <v>97</v>
      </c>
    </row>
    <row r="104" spans="1:7" ht="15" customHeight="1" x14ac:dyDescent="0.2">
      <c r="E104" s="19" t="s">
        <v>208</v>
      </c>
      <c r="F104" s="19"/>
    </row>
    <row r="105" spans="1:7" ht="15" customHeight="1" x14ac:dyDescent="0.2">
      <c r="E105" s="20" t="s">
        <v>209</v>
      </c>
      <c r="F105" s="20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Blank Subtraction 1_03"/>
  <dimension ref="A1:M36"/>
  <sheetViews>
    <sheetView topLeftCell="A8" workbookViewId="0">
      <selection activeCell="A37" sqref="A37:XFD37"/>
    </sheetView>
  </sheetViews>
  <sheetFormatPr defaultColWidth="9.140625" defaultRowHeight="15" customHeight="1" x14ac:dyDescent="0.2"/>
  <cols>
    <col min="1" max="1" width="10.42578125" customWidth="1"/>
    <col min="2" max="2" width="13" customWidth="1"/>
    <col min="3" max="3" width="18.5703125" customWidth="1"/>
    <col min="4" max="5" width="12.7109375" customWidth="1"/>
    <col min="6" max="7" width="19.5703125" customWidth="1"/>
    <col min="8" max="10" width="3.140625" customWidth="1"/>
    <col min="11" max="13" width="4.140625" customWidth="1"/>
  </cols>
  <sheetData>
    <row r="1" spans="1:13" ht="15" customHeight="1" x14ac:dyDescent="0.2">
      <c r="A1" t="s">
        <v>0</v>
      </c>
    </row>
    <row r="2" spans="1:13" ht="15" customHeight="1" x14ac:dyDescent="0.2">
      <c r="A2" t="s">
        <v>1</v>
      </c>
    </row>
    <row r="3" spans="1:13" ht="15" customHeight="1" x14ac:dyDescent="0.2">
      <c r="A3" t="s">
        <v>2</v>
      </c>
    </row>
    <row r="4" spans="1:13" ht="15" customHeight="1" x14ac:dyDescent="0.2">
      <c r="A4" t="s">
        <v>3</v>
      </c>
    </row>
    <row r="5" spans="1:13" ht="15" customHeight="1" x14ac:dyDescent="0.2">
      <c r="A5" t="s">
        <v>98</v>
      </c>
    </row>
    <row r="9" spans="1:13" ht="15" customHeight="1" x14ac:dyDescent="0.2">
      <c r="A9" t="s">
        <v>5</v>
      </c>
    </row>
    <row r="10" spans="1:13" ht="15" customHeight="1" x14ac:dyDescent="0.2">
      <c r="A10" t="s">
        <v>3</v>
      </c>
    </row>
    <row r="11" spans="1:13" ht="15" customHeight="1" x14ac:dyDescent="0.2">
      <c r="A11" t="s">
        <v>6</v>
      </c>
    </row>
    <row r="12" spans="1:13" ht="15" customHeight="1" x14ac:dyDescent="0.2">
      <c r="A12" t="s">
        <v>3</v>
      </c>
    </row>
    <row r="13" spans="1:13" ht="15" customHeight="1" x14ac:dyDescent="0.2">
      <c r="A13" s="30" t="s">
        <v>99</v>
      </c>
      <c r="B13" s="30">
        <v>1</v>
      </c>
      <c r="C13" s="30">
        <v>2</v>
      </c>
      <c r="D13" s="30">
        <v>3</v>
      </c>
      <c r="E13" s="30">
        <v>4</v>
      </c>
      <c r="F13" s="30">
        <v>5</v>
      </c>
      <c r="G13" s="30">
        <v>6</v>
      </c>
      <c r="H13" s="1"/>
      <c r="I13" s="1"/>
      <c r="J13" s="1"/>
      <c r="K13" s="1"/>
      <c r="L13" s="1"/>
      <c r="M13" s="1"/>
    </row>
    <row r="14" spans="1:13" ht="15" customHeight="1" x14ac:dyDescent="0.2">
      <c r="A14" s="23" t="s">
        <v>8</v>
      </c>
      <c r="B14" s="25">
        <v>0.41373300000000002</v>
      </c>
      <c r="C14" s="25">
        <v>0.44397399999999998</v>
      </c>
      <c r="D14" s="26">
        <v>2.41839</v>
      </c>
      <c r="E14" s="26">
        <v>1.99061</v>
      </c>
      <c r="F14" s="25">
        <v>0.63718699999999995</v>
      </c>
      <c r="G14" s="25">
        <v>0.51714700000000002</v>
      </c>
    </row>
    <row r="15" spans="1:13" ht="15" customHeight="1" x14ac:dyDescent="0.2">
      <c r="A15" s="23" t="s">
        <v>9</v>
      </c>
      <c r="B15" s="25">
        <v>0.47284799999999999</v>
      </c>
      <c r="C15" s="25">
        <v>0.46009100000000003</v>
      </c>
      <c r="D15" s="25">
        <v>0.207923</v>
      </c>
      <c r="E15" s="25">
        <v>0.22183600000000001</v>
      </c>
      <c r="F15" s="27">
        <v>7.9635000000000001E-3</v>
      </c>
      <c r="G15" s="28">
        <v>1.24621E-2</v>
      </c>
    </row>
    <row r="16" spans="1:13" ht="15" customHeight="1" x14ac:dyDescent="0.2">
      <c r="A16" s="23" t="s">
        <v>10</v>
      </c>
      <c r="B16" s="25">
        <v>0.17963100000000001</v>
      </c>
      <c r="C16" s="25">
        <v>0.24469099999999999</v>
      </c>
      <c r="D16" s="25">
        <v>0.51594899999999999</v>
      </c>
      <c r="E16" s="25">
        <v>0.43131700000000001</v>
      </c>
      <c r="F16" s="28">
        <v>3.5124700000000002E-2</v>
      </c>
      <c r="G16" s="28">
        <v>3.4605900000000002E-2</v>
      </c>
    </row>
    <row r="17" spans="1:13" ht="15" customHeight="1" x14ac:dyDescent="0.2">
      <c r="A17" s="23" t="s">
        <v>11</v>
      </c>
      <c r="B17" s="28">
        <v>8.5181699999999999E-2</v>
      </c>
      <c r="C17" s="25">
        <v>0.104407</v>
      </c>
      <c r="D17" s="25">
        <v>0.56284999999999996</v>
      </c>
      <c r="E17" s="25">
        <v>0.42033399999999999</v>
      </c>
      <c r="F17" s="28">
        <v>5.6829699999999997E-2</v>
      </c>
      <c r="G17" s="28">
        <v>6.3113699999999995E-2</v>
      </c>
    </row>
    <row r="18" spans="1:13" ht="15" customHeight="1" x14ac:dyDescent="0.2">
      <c r="A18" s="23" t="s">
        <v>12</v>
      </c>
      <c r="B18" s="28">
        <v>2.8953199999999998E-2</v>
      </c>
      <c r="C18" s="28">
        <v>4.5001699999999999E-2</v>
      </c>
      <c r="D18" s="26">
        <v>3.39825</v>
      </c>
      <c r="E18" s="26">
        <v>2.4529299999999998</v>
      </c>
      <c r="F18" s="28">
        <v>7.3279700000000003E-2</v>
      </c>
      <c r="G18" s="28">
        <v>5.0696699999999997E-2</v>
      </c>
    </row>
    <row r="19" spans="1:13" ht="15" customHeight="1" x14ac:dyDescent="0.2">
      <c r="A19" s="23" t="s">
        <v>13</v>
      </c>
      <c r="B19" s="27">
        <v>-2.0320999999999998E-3</v>
      </c>
      <c r="C19" s="27">
        <v>5.2088999999999998E-3</v>
      </c>
      <c r="D19" s="26">
        <v>1.16404</v>
      </c>
      <c r="E19" s="26">
        <v>1.07514</v>
      </c>
      <c r="F19" s="27">
        <v>-7.3125000000000004E-3</v>
      </c>
      <c r="G19" s="27">
        <v>-4.4892999999999999E-3</v>
      </c>
    </row>
    <row r="20" spans="1:13" ht="15" customHeight="1" x14ac:dyDescent="0.2">
      <c r="A20" s="23" t="s">
        <v>14</v>
      </c>
      <c r="B20" s="28">
        <v>-1.18584E-2</v>
      </c>
      <c r="C20" s="28">
        <v>-1.07353E-2</v>
      </c>
      <c r="D20" s="25">
        <v>0.125609</v>
      </c>
      <c r="E20" s="25">
        <v>0.14218600000000001</v>
      </c>
      <c r="F20" s="28">
        <v>1.8240900000000001E-2</v>
      </c>
      <c r="G20" s="27">
        <v>4.2874000000000002E-3</v>
      </c>
    </row>
    <row r="21" spans="1:13" ht="15" customHeight="1" x14ac:dyDescent="0.2">
      <c r="A21" s="23" t="s">
        <v>15</v>
      </c>
      <c r="B21" s="29">
        <v>0</v>
      </c>
      <c r="C21" s="28">
        <v>7.9371700000000003E-2</v>
      </c>
      <c r="D21" s="25">
        <v>0.35264099999999998</v>
      </c>
      <c r="E21" s="25">
        <v>0.28107500000000002</v>
      </c>
      <c r="F21" s="28">
        <v>8.4368700000000005E-2</v>
      </c>
      <c r="G21" s="28">
        <v>8.0752699999999997E-2</v>
      </c>
    </row>
    <row r="23" spans="1:13" ht="15" customHeight="1" x14ac:dyDescent="0.2">
      <c r="A23" s="21" t="s">
        <v>16</v>
      </c>
      <c r="B23" s="22">
        <v>1</v>
      </c>
      <c r="C23" s="22">
        <v>2</v>
      </c>
      <c r="D23" s="22">
        <v>3</v>
      </c>
      <c r="E23" s="22">
        <v>4</v>
      </c>
      <c r="F23" s="22">
        <v>5</v>
      </c>
      <c r="G23" s="22">
        <v>6</v>
      </c>
      <c r="H23" s="1"/>
      <c r="I23" s="1"/>
      <c r="J23" s="1"/>
      <c r="K23" s="1"/>
      <c r="L23" s="1"/>
      <c r="M23" s="1"/>
    </row>
    <row r="24" spans="1:13" ht="15" customHeight="1" x14ac:dyDescent="0.2">
      <c r="A24" s="21" t="s">
        <v>8</v>
      </c>
      <c r="B24" s="21" t="s">
        <v>220</v>
      </c>
      <c r="C24" s="21" t="s">
        <v>220</v>
      </c>
      <c r="D24" s="21" t="s">
        <v>211</v>
      </c>
      <c r="E24" s="21" t="s">
        <v>211</v>
      </c>
      <c r="F24" s="21" t="s">
        <v>227</v>
      </c>
      <c r="G24" s="21" t="s">
        <v>227</v>
      </c>
    </row>
    <row r="25" spans="1:13" ht="15" customHeight="1" x14ac:dyDescent="0.2">
      <c r="A25" s="21" t="s">
        <v>9</v>
      </c>
      <c r="B25" s="21" t="s">
        <v>219</v>
      </c>
      <c r="C25" s="21" t="s">
        <v>219</v>
      </c>
      <c r="D25" s="21" t="s">
        <v>222</v>
      </c>
      <c r="E25" s="21" t="s">
        <v>222</v>
      </c>
      <c r="F25" s="21" t="s">
        <v>228</v>
      </c>
      <c r="G25" s="21" t="s">
        <v>228</v>
      </c>
    </row>
    <row r="26" spans="1:13" ht="15" customHeight="1" x14ac:dyDescent="0.2">
      <c r="A26" s="21" t="s">
        <v>10</v>
      </c>
      <c r="B26" s="21" t="s">
        <v>218</v>
      </c>
      <c r="C26" s="21" t="s">
        <v>218</v>
      </c>
      <c r="D26" s="21" t="s">
        <v>223</v>
      </c>
      <c r="E26" s="21" t="s">
        <v>223</v>
      </c>
      <c r="F26" s="21" t="s">
        <v>229</v>
      </c>
      <c r="G26" s="21" t="s">
        <v>229</v>
      </c>
    </row>
    <row r="27" spans="1:13" ht="15" customHeight="1" x14ac:dyDescent="0.2">
      <c r="A27" s="21" t="s">
        <v>11</v>
      </c>
      <c r="B27" s="21" t="s">
        <v>217</v>
      </c>
      <c r="C27" s="21" t="s">
        <v>217</v>
      </c>
      <c r="D27" s="21" t="s">
        <v>224</v>
      </c>
      <c r="E27" s="21" t="s">
        <v>224</v>
      </c>
      <c r="F27" s="21" t="s">
        <v>230</v>
      </c>
      <c r="G27" s="21" t="s">
        <v>230</v>
      </c>
    </row>
    <row r="28" spans="1:13" ht="15" customHeight="1" x14ac:dyDescent="0.2">
      <c r="A28" s="21" t="s">
        <v>12</v>
      </c>
      <c r="B28" s="21" t="s">
        <v>216</v>
      </c>
      <c r="C28" s="21" t="s">
        <v>216</v>
      </c>
      <c r="D28" s="21" t="s">
        <v>210</v>
      </c>
      <c r="E28" s="21" t="s">
        <v>212</v>
      </c>
      <c r="F28" s="21" t="s">
        <v>234</v>
      </c>
      <c r="G28" s="21" t="s">
        <v>234</v>
      </c>
    </row>
    <row r="29" spans="1:13" ht="15" customHeight="1" x14ac:dyDescent="0.2">
      <c r="A29" s="21" t="s">
        <v>13</v>
      </c>
      <c r="B29" s="21" t="s">
        <v>215</v>
      </c>
      <c r="C29" s="21" t="s">
        <v>215</v>
      </c>
      <c r="D29" s="21" t="s">
        <v>213</v>
      </c>
      <c r="E29" s="21" t="s">
        <v>213</v>
      </c>
      <c r="F29" s="21" t="s">
        <v>231</v>
      </c>
      <c r="G29" s="21" t="s">
        <v>231</v>
      </c>
    </row>
    <row r="30" spans="1:13" ht="15" customHeight="1" x14ac:dyDescent="0.2">
      <c r="A30" s="21" t="s">
        <v>14</v>
      </c>
      <c r="B30" s="21" t="s">
        <v>214</v>
      </c>
      <c r="C30" s="21" t="s">
        <v>214</v>
      </c>
      <c r="D30" s="21" t="s">
        <v>225</v>
      </c>
      <c r="E30" s="21" t="s">
        <v>225</v>
      </c>
      <c r="F30" s="21" t="s">
        <v>232</v>
      </c>
      <c r="G30" s="21" t="s">
        <v>232</v>
      </c>
    </row>
    <row r="31" spans="1:13" ht="15" customHeight="1" x14ac:dyDescent="0.2">
      <c r="A31" s="21" t="s">
        <v>15</v>
      </c>
      <c r="B31" s="21" t="s">
        <v>52</v>
      </c>
      <c r="C31" s="21" t="s">
        <v>221</v>
      </c>
      <c r="D31" s="21" t="s">
        <v>226</v>
      </c>
      <c r="E31" s="21" t="s">
        <v>226</v>
      </c>
      <c r="F31" s="21" t="s">
        <v>233</v>
      </c>
      <c r="G31" s="21" t="s">
        <v>233</v>
      </c>
    </row>
    <row r="33" spans="1:7" ht="15" customHeight="1" x14ac:dyDescent="0.2">
      <c r="A33" t="s">
        <v>100</v>
      </c>
    </row>
    <row r="35" spans="1:7" ht="15" customHeight="1" x14ac:dyDescent="0.2">
      <c r="F35" s="19" t="s">
        <v>208</v>
      </c>
      <c r="G35" s="19"/>
    </row>
    <row r="36" spans="1:7" ht="15" customHeight="1" x14ac:dyDescent="0.2">
      <c r="F36" s="20" t="s">
        <v>209</v>
      </c>
      <c r="G36" s="2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tandard Curve 2_04"/>
  <dimension ref="A1:Q106"/>
  <sheetViews>
    <sheetView topLeftCell="C64" workbookViewId="0">
      <selection activeCell="N99" sqref="N99"/>
    </sheetView>
  </sheetViews>
  <sheetFormatPr defaultColWidth="9.140625" defaultRowHeight="15" customHeight="1" x14ac:dyDescent="0.2"/>
  <cols>
    <col min="1" max="1" width="9.7109375" customWidth="1"/>
    <col min="2" max="2" width="13" customWidth="1"/>
    <col min="3" max="3" width="18.28515625" customWidth="1"/>
    <col min="4" max="5" width="12.42578125" customWidth="1"/>
    <col min="6" max="7" width="20" customWidth="1"/>
    <col min="8" max="8" width="3.140625" customWidth="1"/>
    <col min="9" max="9" width="22.5703125" style="30" customWidth="1"/>
    <col min="10" max="12" width="11.85546875" customWidth="1"/>
    <col min="14" max="17" width="22.7109375" customWidth="1"/>
  </cols>
  <sheetData>
    <row r="1" spans="1:1" ht="15" customHeight="1" x14ac:dyDescent="0.2">
      <c r="A1" t="s">
        <v>0</v>
      </c>
    </row>
    <row r="2" spans="1:1" ht="15" customHeight="1" x14ac:dyDescent="0.2">
      <c r="A2" t="s">
        <v>1</v>
      </c>
    </row>
    <row r="3" spans="1:1" ht="15" customHeight="1" x14ac:dyDescent="0.2">
      <c r="A3" t="s">
        <v>2</v>
      </c>
    </row>
    <row r="4" spans="1:1" ht="15" customHeight="1" x14ac:dyDescent="0.2">
      <c r="A4" t="s">
        <v>3</v>
      </c>
    </row>
    <row r="5" spans="1:1" ht="15" customHeight="1" x14ac:dyDescent="0.2">
      <c r="A5" t="s">
        <v>101</v>
      </c>
    </row>
    <row r="7" spans="1:1" ht="15" customHeight="1" x14ac:dyDescent="0.2">
      <c r="A7" t="s">
        <v>60</v>
      </c>
    </row>
    <row r="8" spans="1:1" ht="15" customHeight="1" x14ac:dyDescent="0.2">
      <c r="A8" t="s">
        <v>61</v>
      </c>
    </row>
    <row r="9" spans="1:1" ht="15" customHeight="1" x14ac:dyDescent="0.2">
      <c r="A9" t="s">
        <v>62</v>
      </c>
    </row>
    <row r="10" spans="1:1" ht="15" customHeight="1" x14ac:dyDescent="0.2">
      <c r="A10" t="s">
        <v>5</v>
      </c>
    </row>
    <row r="11" spans="1:1" ht="15" customHeight="1" x14ac:dyDescent="0.2">
      <c r="A11" t="s">
        <v>63</v>
      </c>
    </row>
    <row r="12" spans="1:1" ht="15" customHeight="1" x14ac:dyDescent="0.2">
      <c r="A12" t="s">
        <v>64</v>
      </c>
    </row>
    <row r="13" spans="1:1" ht="15" customHeight="1" x14ac:dyDescent="0.2">
      <c r="A13" t="s">
        <v>3</v>
      </c>
    </row>
    <row r="15" spans="1:1" ht="15" customHeight="1" x14ac:dyDescent="0.2">
      <c r="A15" t="s">
        <v>3</v>
      </c>
    </row>
    <row r="36" spans="1:7" ht="15" customHeight="1" x14ac:dyDescent="0.2">
      <c r="A36" t="s">
        <v>102</v>
      </c>
    </row>
    <row r="38" spans="1:7" ht="15" customHeight="1" x14ac:dyDescent="0.2">
      <c r="A38" t="s">
        <v>66</v>
      </c>
    </row>
    <row r="39" spans="1:7" ht="12.75" x14ac:dyDescent="0.2">
      <c r="A39" t="s">
        <v>67</v>
      </c>
    </row>
    <row r="40" spans="1:7" ht="12.75" x14ac:dyDescent="0.2">
      <c r="A40" t="s">
        <v>68</v>
      </c>
      <c r="B40" s="2">
        <v>1.3006800000000001E-2</v>
      </c>
    </row>
    <row r="41" spans="1:7" ht="12.75" x14ac:dyDescent="0.2">
      <c r="A41" t="s">
        <v>69</v>
      </c>
      <c r="B41" s="3">
        <v>-3.0740400000000001</v>
      </c>
    </row>
    <row r="42" spans="1:7" ht="12.75" x14ac:dyDescent="0.2">
      <c r="A42" t="s">
        <v>70</v>
      </c>
      <c r="B42" s="4">
        <v>12.5664</v>
      </c>
    </row>
    <row r="43" spans="1:7" ht="12.75" x14ac:dyDescent="0.2">
      <c r="A43" t="s">
        <v>71</v>
      </c>
      <c r="B43" s="5">
        <v>0.46668100000000001</v>
      </c>
    </row>
    <row r="44" spans="1:7" ht="12.75" x14ac:dyDescent="0.2"/>
    <row r="45" spans="1:7" ht="12.75" x14ac:dyDescent="0.2">
      <c r="A45" t="s">
        <v>72</v>
      </c>
    </row>
    <row r="46" spans="1:7" ht="12.75" x14ac:dyDescent="0.2">
      <c r="A46" t="s">
        <v>3</v>
      </c>
    </row>
    <row r="47" spans="1:7" ht="12.75" x14ac:dyDescent="0.2">
      <c r="A47" t="s">
        <v>73</v>
      </c>
      <c r="B47" t="s">
        <v>16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</row>
    <row r="48" spans="1:7" ht="12.75" x14ac:dyDescent="0.2">
      <c r="A48" t="s">
        <v>79</v>
      </c>
      <c r="B48" t="s">
        <v>47</v>
      </c>
      <c r="C48" s="6">
        <v>200</v>
      </c>
      <c r="D48" s="2">
        <v>-1.12969E-2</v>
      </c>
      <c r="E48" s="3">
        <v>7.0298499999999997</v>
      </c>
      <c r="F48" s="2">
        <v>1.3098500000000001E-2</v>
      </c>
      <c r="G48" s="2">
        <v>-2.4395300000000002E-2</v>
      </c>
    </row>
    <row r="49" spans="1:7" ht="12.75" x14ac:dyDescent="0.2">
      <c r="A49" t="s">
        <v>80</v>
      </c>
      <c r="B49" t="s">
        <v>47</v>
      </c>
      <c r="C49" s="6">
        <v>200</v>
      </c>
      <c r="D49" s="2">
        <v>-1.18584E-2</v>
      </c>
      <c r="F49" s="2">
        <v>1.3098500000000001E-2</v>
      </c>
      <c r="G49" s="2">
        <v>-2.4956900000000001E-2</v>
      </c>
    </row>
    <row r="50" spans="1:7" ht="12.75" x14ac:dyDescent="0.2">
      <c r="A50" t="s">
        <v>81</v>
      </c>
      <c r="B50" t="s">
        <v>47</v>
      </c>
      <c r="C50" s="6">
        <v>200</v>
      </c>
      <c r="D50" s="2">
        <v>-1.07353E-2</v>
      </c>
      <c r="F50" s="2">
        <v>1.3098500000000001E-2</v>
      </c>
      <c r="G50" s="2">
        <v>-2.3833799999999999E-2</v>
      </c>
    </row>
    <row r="51" spans="1:7" ht="12.75" x14ac:dyDescent="0.2">
      <c r="A51" t="s">
        <v>79</v>
      </c>
      <c r="B51" t="s">
        <v>42</v>
      </c>
      <c r="C51" s="6">
        <v>100</v>
      </c>
      <c r="D51" s="7">
        <v>1.5884E-3</v>
      </c>
      <c r="E51" s="6">
        <v>322.34699999999998</v>
      </c>
      <c r="F51" s="2">
        <v>1.3777599999999999E-2</v>
      </c>
      <c r="G51" s="2">
        <v>-1.2189200000000001E-2</v>
      </c>
    </row>
    <row r="52" spans="1:7" ht="12.75" x14ac:dyDescent="0.2">
      <c r="A52" t="s">
        <v>82</v>
      </c>
      <c r="B52" t="s">
        <v>42</v>
      </c>
      <c r="C52" s="6">
        <v>100</v>
      </c>
      <c r="D52" s="7">
        <v>-2.0320999999999998E-3</v>
      </c>
      <c r="F52" s="2">
        <v>1.3777599999999999E-2</v>
      </c>
      <c r="G52" s="2">
        <v>-1.5809699999999999E-2</v>
      </c>
    </row>
    <row r="53" spans="1:7" ht="12.75" x14ac:dyDescent="0.2">
      <c r="A53" t="s">
        <v>83</v>
      </c>
      <c r="B53" t="s">
        <v>42</v>
      </c>
      <c r="C53" s="6">
        <v>100</v>
      </c>
      <c r="D53" s="7">
        <v>5.2088999999999998E-3</v>
      </c>
      <c r="F53" s="2">
        <v>1.3777599999999999E-2</v>
      </c>
      <c r="G53" s="7">
        <v>-8.5687200000000002E-3</v>
      </c>
    </row>
    <row r="54" spans="1:7" ht="12.75" x14ac:dyDescent="0.2">
      <c r="A54" t="s">
        <v>79</v>
      </c>
      <c r="B54" t="s">
        <v>37</v>
      </c>
      <c r="C54" s="4">
        <v>50</v>
      </c>
      <c r="D54" s="2">
        <v>3.6977500000000003E-2</v>
      </c>
      <c r="E54" s="4">
        <v>30.689</v>
      </c>
      <c r="F54" s="2">
        <v>1.94171E-2</v>
      </c>
      <c r="G54" s="2">
        <v>1.7560300000000001E-2</v>
      </c>
    </row>
    <row r="55" spans="1:7" ht="12.75" x14ac:dyDescent="0.2">
      <c r="A55" t="s">
        <v>84</v>
      </c>
      <c r="B55" t="s">
        <v>37</v>
      </c>
      <c r="C55" s="4">
        <v>50</v>
      </c>
      <c r="D55" s="2">
        <v>2.8953199999999998E-2</v>
      </c>
      <c r="F55" s="2">
        <v>1.94171E-2</v>
      </c>
      <c r="G55" s="7">
        <v>9.5360800000000006E-3</v>
      </c>
    </row>
    <row r="56" spans="1:7" ht="12.75" x14ac:dyDescent="0.2">
      <c r="A56" t="s">
        <v>85</v>
      </c>
      <c r="B56" t="s">
        <v>37</v>
      </c>
      <c r="C56" s="4">
        <v>50</v>
      </c>
      <c r="D56" s="2">
        <v>4.5001699999999999E-2</v>
      </c>
      <c r="F56" s="2">
        <v>1.94171E-2</v>
      </c>
      <c r="G56" s="2">
        <v>2.5584599999999999E-2</v>
      </c>
    </row>
    <row r="57" spans="1:7" ht="12.75" x14ac:dyDescent="0.2">
      <c r="A57" t="s">
        <v>79</v>
      </c>
      <c r="B57" t="s">
        <v>32</v>
      </c>
      <c r="C57" s="4">
        <v>25</v>
      </c>
      <c r="D57" s="2">
        <v>9.4794199999999995E-2</v>
      </c>
      <c r="E57" s="4">
        <v>14.3407</v>
      </c>
      <c r="F57" s="2">
        <v>6.1866299999999999E-2</v>
      </c>
      <c r="G57" s="2">
        <v>3.2927900000000003E-2</v>
      </c>
    </row>
    <row r="58" spans="1:7" ht="12.75" x14ac:dyDescent="0.2">
      <c r="A58" t="s">
        <v>86</v>
      </c>
      <c r="B58" t="s">
        <v>32</v>
      </c>
      <c r="C58" s="4">
        <v>25</v>
      </c>
      <c r="D58" s="2">
        <v>8.5181699999999999E-2</v>
      </c>
      <c r="F58" s="2">
        <v>6.1866299999999999E-2</v>
      </c>
      <c r="G58" s="2">
        <v>2.33154E-2</v>
      </c>
    </row>
    <row r="59" spans="1:7" ht="12.75" x14ac:dyDescent="0.2">
      <c r="A59" t="s">
        <v>87</v>
      </c>
      <c r="B59" t="s">
        <v>32</v>
      </c>
      <c r="C59" s="4">
        <v>25</v>
      </c>
      <c r="D59" s="5">
        <v>0.104407</v>
      </c>
      <c r="F59" s="2">
        <v>6.1866299999999999E-2</v>
      </c>
      <c r="G59" s="2">
        <v>4.2540399999999999E-2</v>
      </c>
    </row>
    <row r="60" spans="1:7" ht="12.75" x14ac:dyDescent="0.2">
      <c r="A60" t="s">
        <v>79</v>
      </c>
      <c r="B60" t="s">
        <v>27</v>
      </c>
      <c r="C60" s="4">
        <v>12.5</v>
      </c>
      <c r="D60" s="5">
        <v>0.21216099999999999</v>
      </c>
      <c r="E60" s="4">
        <v>21.683700000000002</v>
      </c>
      <c r="F60" s="5">
        <v>0.24168999999999999</v>
      </c>
      <c r="G60" s="2">
        <v>-2.95296E-2</v>
      </c>
    </row>
    <row r="61" spans="1:7" ht="12.75" x14ac:dyDescent="0.2">
      <c r="A61" t="s">
        <v>88</v>
      </c>
      <c r="B61" t="s">
        <v>27</v>
      </c>
      <c r="C61" s="4">
        <v>12.5</v>
      </c>
      <c r="D61" s="5">
        <v>0.17963100000000001</v>
      </c>
      <c r="F61" s="5">
        <v>0.24168999999999999</v>
      </c>
      <c r="G61" s="2">
        <v>-6.2059599999999999E-2</v>
      </c>
    </row>
    <row r="62" spans="1:7" ht="12.75" x14ac:dyDescent="0.2">
      <c r="A62" t="s">
        <v>89</v>
      </c>
      <c r="B62" t="s">
        <v>27</v>
      </c>
      <c r="C62" s="4">
        <v>12.5</v>
      </c>
      <c r="D62" s="5">
        <v>0.24469099999999999</v>
      </c>
      <c r="F62" s="5">
        <v>0.24168999999999999</v>
      </c>
      <c r="G62" s="7">
        <v>3.0004099999999998E-3</v>
      </c>
    </row>
    <row r="63" spans="1:7" ht="12.75" x14ac:dyDescent="0.2">
      <c r="A63" t="s">
        <v>79</v>
      </c>
      <c r="B63" t="s">
        <v>22</v>
      </c>
      <c r="C63" s="3">
        <v>6.25</v>
      </c>
      <c r="D63" s="5">
        <v>0.46646900000000002</v>
      </c>
      <c r="E63" s="3">
        <v>1.9338</v>
      </c>
      <c r="F63" s="5">
        <v>0.41922300000000001</v>
      </c>
      <c r="G63" s="2">
        <v>4.7246099999999999E-2</v>
      </c>
    </row>
    <row r="64" spans="1:7" ht="12.75" x14ac:dyDescent="0.2">
      <c r="A64" t="s">
        <v>90</v>
      </c>
      <c r="B64" t="s">
        <v>22</v>
      </c>
      <c r="C64" s="3">
        <v>6.25</v>
      </c>
      <c r="D64" s="5">
        <v>0.47284799999999999</v>
      </c>
      <c r="F64" s="5">
        <v>0.41922300000000001</v>
      </c>
      <c r="G64" s="2">
        <v>5.3624600000000001E-2</v>
      </c>
    </row>
    <row r="65" spans="1:17" ht="12.75" x14ac:dyDescent="0.2">
      <c r="A65" t="s">
        <v>91</v>
      </c>
      <c r="B65" t="s">
        <v>22</v>
      </c>
      <c r="C65" s="3">
        <v>6.25</v>
      </c>
      <c r="D65" s="5">
        <v>0.46009100000000003</v>
      </c>
      <c r="F65" s="5">
        <v>0.41922300000000001</v>
      </c>
      <c r="G65" s="2">
        <v>4.0867599999999997E-2</v>
      </c>
    </row>
    <row r="66" spans="1:17" ht="12.75" x14ac:dyDescent="0.2">
      <c r="A66" t="s">
        <v>79</v>
      </c>
      <c r="B66" t="s">
        <v>17</v>
      </c>
      <c r="C66" s="3">
        <v>3.125</v>
      </c>
      <c r="D66" s="5">
        <v>0.42885299999999998</v>
      </c>
      <c r="E66" s="3">
        <v>4.9862299999999999</v>
      </c>
      <c r="F66" s="5">
        <v>0.46047300000000002</v>
      </c>
      <c r="G66" s="2">
        <v>-3.1620200000000001E-2</v>
      </c>
    </row>
    <row r="67" spans="1:17" ht="12.75" x14ac:dyDescent="0.2">
      <c r="A67" t="s">
        <v>92</v>
      </c>
      <c r="B67" t="s">
        <v>17</v>
      </c>
      <c r="C67" s="3">
        <v>3.125</v>
      </c>
      <c r="D67" s="5">
        <v>0.41373300000000002</v>
      </c>
      <c r="F67" s="5">
        <v>0.46047300000000002</v>
      </c>
      <c r="G67" s="2">
        <v>-4.6740700000000003E-2</v>
      </c>
    </row>
    <row r="68" spans="1:17" ht="12.75" x14ac:dyDescent="0.2">
      <c r="A68" t="s">
        <v>93</v>
      </c>
      <c r="B68" t="s">
        <v>17</v>
      </c>
      <c r="C68" s="3">
        <v>3.125</v>
      </c>
      <c r="D68" s="5">
        <v>0.44397399999999998</v>
      </c>
      <c r="F68" s="5">
        <v>0.46047300000000002</v>
      </c>
      <c r="G68" s="2">
        <v>-1.6499699999999999E-2</v>
      </c>
    </row>
    <row r="69" spans="1:17" ht="12.75" x14ac:dyDescent="0.2"/>
    <row r="70" spans="1:17" ht="12.75" x14ac:dyDescent="0.2"/>
    <row r="71" spans="1:17" ht="12.75" x14ac:dyDescent="0.2">
      <c r="A71" t="s">
        <v>6</v>
      </c>
    </row>
    <row r="72" spans="1:17" ht="12.75" x14ac:dyDescent="0.2">
      <c r="A72" t="s">
        <v>3</v>
      </c>
    </row>
    <row r="73" spans="1:17" ht="12.75" x14ac:dyDescent="0.2">
      <c r="A73" s="23" t="s">
        <v>94</v>
      </c>
      <c r="B73" s="23">
        <v>1</v>
      </c>
      <c r="C73" s="23">
        <v>2</v>
      </c>
      <c r="D73" s="23">
        <v>3</v>
      </c>
      <c r="E73" s="23">
        <v>4</v>
      </c>
      <c r="F73" s="23">
        <v>5</v>
      </c>
      <c r="G73" s="23">
        <v>6</v>
      </c>
      <c r="H73" s="1"/>
      <c r="J73" s="42" t="s">
        <v>235</v>
      </c>
      <c r="K73" s="42"/>
    </row>
    <row r="74" spans="1:17" ht="12.75" x14ac:dyDescent="0.2">
      <c r="A74" s="23" t="s">
        <v>8</v>
      </c>
      <c r="B74" s="25">
        <v>0.41373300000000002</v>
      </c>
      <c r="C74" s="25">
        <v>0.44397399999999998</v>
      </c>
      <c r="D74" s="26">
        <v>2.41839</v>
      </c>
      <c r="E74" s="26">
        <v>1.99061</v>
      </c>
      <c r="F74" s="25">
        <v>0.63718699999999995</v>
      </c>
      <c r="G74" s="25">
        <v>0.51714700000000002</v>
      </c>
    </row>
    <row r="75" spans="1:17" ht="12.75" x14ac:dyDescent="0.2">
      <c r="A75" s="23" t="s">
        <v>9</v>
      </c>
      <c r="B75" s="25">
        <v>0.47284799999999999</v>
      </c>
      <c r="C75" s="25">
        <v>0.46009100000000003</v>
      </c>
      <c r="D75" s="25">
        <v>0.207923</v>
      </c>
      <c r="E75" s="25">
        <v>0.22183600000000001</v>
      </c>
      <c r="F75" s="27">
        <v>7.9635000000000001E-3</v>
      </c>
      <c r="G75" s="28">
        <v>1.24621E-2</v>
      </c>
      <c r="I75" s="23" t="s">
        <v>236</v>
      </c>
      <c r="J75" s="21" t="s">
        <v>237</v>
      </c>
      <c r="K75" s="21" t="s">
        <v>238</v>
      </c>
      <c r="L75" s="21" t="s">
        <v>239</v>
      </c>
      <c r="N75" s="43" t="s">
        <v>282</v>
      </c>
      <c r="O75" s="44"/>
      <c r="P75" s="44"/>
      <c r="Q75" s="39"/>
    </row>
    <row r="76" spans="1:17" ht="12.75" x14ac:dyDescent="0.2">
      <c r="A76" s="23" t="s">
        <v>10</v>
      </c>
      <c r="B76" s="25">
        <v>0.17963100000000001</v>
      </c>
      <c r="C76" s="25">
        <v>0.24469099999999999</v>
      </c>
      <c r="D76" s="25">
        <v>0.51594899999999999</v>
      </c>
      <c r="E76" s="25">
        <v>0.43131700000000001</v>
      </c>
      <c r="F76" s="28">
        <v>3.5124700000000002E-2</v>
      </c>
      <c r="G76" s="28">
        <v>3.4605900000000002E-2</v>
      </c>
      <c r="I76" s="23">
        <v>1</v>
      </c>
      <c r="J76" s="23" t="s">
        <v>243</v>
      </c>
      <c r="K76" s="21" t="e">
        <f>(I76*J76)</f>
        <v>#VALUE!</v>
      </c>
      <c r="L76" s="21"/>
      <c r="N76" s="40" t="s">
        <v>283</v>
      </c>
      <c r="O76" s="40" t="s">
        <v>284</v>
      </c>
      <c r="P76" s="40" t="s">
        <v>285</v>
      </c>
      <c r="Q76" s="41" t="s">
        <v>286</v>
      </c>
    </row>
    <row r="77" spans="1:17" ht="12.75" x14ac:dyDescent="0.2">
      <c r="A77" s="23" t="s">
        <v>11</v>
      </c>
      <c r="B77" s="28">
        <v>8.5181699999999999E-2</v>
      </c>
      <c r="C77" s="25">
        <v>0.104407</v>
      </c>
      <c r="D77" s="25">
        <v>0.56284999999999996</v>
      </c>
      <c r="E77" s="25">
        <v>0.42033399999999999</v>
      </c>
      <c r="F77" s="28">
        <v>5.6829699999999997E-2</v>
      </c>
      <c r="G77" s="28">
        <v>6.3113699999999995E-2</v>
      </c>
      <c r="I77" s="23">
        <v>5</v>
      </c>
      <c r="J77" s="23" t="s">
        <v>243</v>
      </c>
      <c r="K77" s="21" t="e">
        <f t="shared" ref="K77:K80" si="0">(I77*J77)</f>
        <v>#VALUE!</v>
      </c>
      <c r="L77" s="21"/>
      <c r="N77" s="40">
        <v>119</v>
      </c>
      <c r="O77" s="40">
        <v>17</v>
      </c>
      <c r="P77" s="40">
        <v>200</v>
      </c>
      <c r="Q77" s="40">
        <v>25</v>
      </c>
    </row>
    <row r="78" spans="1:17" ht="12.75" x14ac:dyDescent="0.2">
      <c r="A78" s="23" t="s">
        <v>12</v>
      </c>
      <c r="B78" s="28">
        <v>2.8953199999999998E-2</v>
      </c>
      <c r="C78" s="28">
        <v>4.5001699999999999E-2</v>
      </c>
      <c r="D78" s="26">
        <v>3.39825</v>
      </c>
      <c r="E78" s="26">
        <v>2.4529299999999998</v>
      </c>
      <c r="F78" s="28">
        <v>7.3279700000000003E-2</v>
      </c>
      <c r="G78" s="28">
        <v>5.0696699999999997E-2</v>
      </c>
      <c r="I78" s="23">
        <v>100</v>
      </c>
      <c r="J78" s="23">
        <v>13.500999999999999</v>
      </c>
      <c r="K78" s="21">
        <f t="shared" si="0"/>
        <v>1350.1</v>
      </c>
      <c r="L78" s="21"/>
    </row>
    <row r="79" spans="1:17" ht="12.75" x14ac:dyDescent="0.2">
      <c r="A79" s="23" t="s">
        <v>13</v>
      </c>
      <c r="B79" s="27">
        <v>-2.0320999999999998E-3</v>
      </c>
      <c r="C79" s="27">
        <v>5.2088999999999998E-3</v>
      </c>
      <c r="D79" s="26">
        <v>1.16404</v>
      </c>
      <c r="E79" s="26">
        <v>1.07514</v>
      </c>
      <c r="F79" s="27">
        <v>-7.3125000000000004E-3</v>
      </c>
      <c r="G79" s="27">
        <v>-4.4892999999999999E-3</v>
      </c>
      <c r="I79" s="23">
        <v>500</v>
      </c>
      <c r="J79" s="23">
        <v>5.6257400000000004</v>
      </c>
      <c r="K79" s="21">
        <f t="shared" si="0"/>
        <v>2812.8700000000003</v>
      </c>
      <c r="L79" s="21"/>
    </row>
    <row r="80" spans="1:17" ht="12.75" x14ac:dyDescent="0.2">
      <c r="A80" s="23" t="s">
        <v>14</v>
      </c>
      <c r="B80" s="28">
        <v>-1.18584E-2</v>
      </c>
      <c r="C80" s="28">
        <v>-1.07353E-2</v>
      </c>
      <c r="D80" s="25">
        <v>0.125609</v>
      </c>
      <c r="E80" s="25">
        <v>0.14218600000000001</v>
      </c>
      <c r="F80" s="28">
        <v>1.8240900000000001E-2</v>
      </c>
      <c r="G80" s="27">
        <v>4.2874000000000002E-3</v>
      </c>
      <c r="I80" s="23">
        <v>1500</v>
      </c>
      <c r="J80" s="23">
        <v>6.1965300000000001</v>
      </c>
      <c r="K80" s="21">
        <f t="shared" si="0"/>
        <v>9294.7950000000001</v>
      </c>
      <c r="L80" s="21"/>
    </row>
    <row r="81" spans="1:14" ht="12.75" x14ac:dyDescent="0.2">
      <c r="A81" s="23" t="s">
        <v>15</v>
      </c>
      <c r="B81" s="23"/>
      <c r="C81" s="28">
        <v>7.9371700000000003E-2</v>
      </c>
      <c r="D81" s="25">
        <v>0.35264099999999998</v>
      </c>
      <c r="E81" s="25">
        <v>0.28107500000000002</v>
      </c>
      <c r="F81" s="28">
        <v>8.4368700000000005E-2</v>
      </c>
      <c r="G81" s="28">
        <v>8.0752699999999997E-2</v>
      </c>
    </row>
    <row r="82" spans="1:14" ht="12.75" x14ac:dyDescent="0.2">
      <c r="I82" s="23"/>
      <c r="J82" s="21" t="s">
        <v>240</v>
      </c>
      <c r="K82" s="21" t="s">
        <v>241</v>
      </c>
      <c r="L82" s="21" t="s">
        <v>239</v>
      </c>
    </row>
    <row r="83" spans="1:14" ht="12.75" x14ac:dyDescent="0.2">
      <c r="A83" s="23" t="s">
        <v>255</v>
      </c>
      <c r="B83" s="23">
        <v>1</v>
      </c>
      <c r="C83" s="23">
        <v>2</v>
      </c>
      <c r="D83" s="23">
        <v>3</v>
      </c>
      <c r="E83" s="23">
        <v>4</v>
      </c>
      <c r="F83" s="23">
        <v>5</v>
      </c>
      <c r="G83" s="23">
        <v>6</v>
      </c>
      <c r="H83" s="1"/>
      <c r="I83" s="23" t="s">
        <v>274</v>
      </c>
      <c r="J83" s="21" t="s">
        <v>245</v>
      </c>
      <c r="K83" s="21" t="s">
        <v>244</v>
      </c>
      <c r="L83" s="21" t="e">
        <f>(K83/J83)*100</f>
        <v>#VALUE!</v>
      </c>
    </row>
    <row r="84" spans="1:14" ht="12.75" x14ac:dyDescent="0.2">
      <c r="A84" s="23" t="s">
        <v>8</v>
      </c>
      <c r="B84" s="26">
        <v>6.5053200000000002</v>
      </c>
      <c r="C84" s="26">
        <v>4.8236999999999997</v>
      </c>
      <c r="D84" s="23" t="s">
        <v>95</v>
      </c>
      <c r="E84" s="23" t="s">
        <v>95</v>
      </c>
      <c r="F84" s="23" t="s">
        <v>95</v>
      </c>
      <c r="G84" s="23" t="s">
        <v>95</v>
      </c>
      <c r="I84" s="23" t="s">
        <v>275</v>
      </c>
      <c r="J84" s="21">
        <v>36.81</v>
      </c>
      <c r="K84" s="21">
        <v>33.1676</v>
      </c>
      <c r="L84" s="21">
        <f t="shared" ref="L84:L86" si="1">(K84/J84)*100</f>
        <v>90.104862809019281</v>
      </c>
    </row>
    <row r="85" spans="1:14" ht="12.75" x14ac:dyDescent="0.2">
      <c r="A85" s="23" t="s">
        <v>9</v>
      </c>
      <c r="B85" s="23" t="s">
        <v>95</v>
      </c>
      <c r="C85" s="26">
        <v>3.1873</v>
      </c>
      <c r="D85" s="24">
        <v>13.7796</v>
      </c>
      <c r="E85" s="24">
        <v>13.2339</v>
      </c>
      <c r="F85" s="23" t="s">
        <v>96</v>
      </c>
      <c r="G85" s="23" t="s">
        <v>96</v>
      </c>
      <c r="I85" s="23" t="s">
        <v>276</v>
      </c>
      <c r="J85" s="21">
        <v>29.92</v>
      </c>
      <c r="K85" s="21">
        <v>25.38795</v>
      </c>
      <c r="L85" s="21">
        <f t="shared" si="1"/>
        <v>84.852774064171115</v>
      </c>
      <c r="N85" s="4"/>
    </row>
    <row r="86" spans="1:14" ht="12.75" x14ac:dyDescent="0.2">
      <c r="A86" s="23" t="s">
        <v>10</v>
      </c>
      <c r="B86" s="24">
        <v>14.998699999999999</v>
      </c>
      <c r="C86" s="24">
        <v>12.392899999999999</v>
      </c>
      <c r="D86" s="23" t="s">
        <v>95</v>
      </c>
      <c r="E86" s="26">
        <v>5.6257400000000004</v>
      </c>
      <c r="F86" s="24">
        <v>33.033099999999997</v>
      </c>
      <c r="G86" s="24">
        <v>33.302100000000003</v>
      </c>
      <c r="I86" s="23" t="s">
        <v>277</v>
      </c>
      <c r="J86" s="21">
        <v>30.421500000000002</v>
      </c>
      <c r="K86" s="21">
        <v>25.289000000000001</v>
      </c>
      <c r="L86" s="21">
        <f t="shared" si="1"/>
        <v>83.128708314843124</v>
      </c>
      <c r="N86" s="4"/>
    </row>
    <row r="87" spans="1:14" ht="12.75" x14ac:dyDescent="0.2">
      <c r="A87" s="23" t="s">
        <v>11</v>
      </c>
      <c r="B87" s="24">
        <v>21.599299999999999</v>
      </c>
      <c r="C87" s="24">
        <v>19.668500000000002</v>
      </c>
      <c r="D87" s="23" t="s">
        <v>95</v>
      </c>
      <c r="E87" s="26">
        <v>6.1965300000000001</v>
      </c>
      <c r="F87" s="24">
        <v>26.004999999999999</v>
      </c>
      <c r="G87" s="24">
        <v>24.770900000000001</v>
      </c>
      <c r="N87" s="4"/>
    </row>
    <row r="88" spans="1:14" ht="12.75" x14ac:dyDescent="0.2">
      <c r="A88" s="23" t="s">
        <v>12</v>
      </c>
      <c r="B88" s="24">
        <v>36.912599999999998</v>
      </c>
      <c r="C88" s="24">
        <v>29.074999999999999</v>
      </c>
      <c r="D88" s="23" t="s">
        <v>95</v>
      </c>
      <c r="E88" s="23" t="s">
        <v>95</v>
      </c>
      <c r="F88" s="24">
        <v>23.133500000000002</v>
      </c>
      <c r="G88" s="24">
        <v>27.444500000000001</v>
      </c>
      <c r="N88" s="4"/>
    </row>
    <row r="89" spans="1:14" ht="12.75" x14ac:dyDescent="0.2">
      <c r="A89" s="23" t="s">
        <v>13</v>
      </c>
      <c r="B89" s="23" t="s">
        <v>96</v>
      </c>
      <c r="C89" s="23" t="s">
        <v>96</v>
      </c>
      <c r="D89" s="23" t="s">
        <v>95</v>
      </c>
      <c r="E89" s="23" t="s">
        <v>95</v>
      </c>
      <c r="F89" s="23" t="s">
        <v>96</v>
      </c>
      <c r="G89" s="23" t="s">
        <v>96</v>
      </c>
    </row>
    <row r="90" spans="1:14" ht="12.75" x14ac:dyDescent="0.2">
      <c r="A90" s="23" t="s">
        <v>14</v>
      </c>
      <c r="B90" s="23" t="s">
        <v>96</v>
      </c>
      <c r="C90" s="23" t="s">
        <v>96</v>
      </c>
      <c r="D90" s="24">
        <v>18.021000000000001</v>
      </c>
      <c r="E90" s="24">
        <v>16.956499999999998</v>
      </c>
      <c r="F90" s="24">
        <v>53.454000000000001</v>
      </c>
      <c r="G90" s="23" t="s">
        <v>96</v>
      </c>
      <c r="J90" s="42" t="s">
        <v>242</v>
      </c>
      <c r="K90" s="42"/>
    </row>
    <row r="91" spans="1:14" ht="12.75" x14ac:dyDescent="0.2">
      <c r="A91" s="23" t="s">
        <v>15</v>
      </c>
      <c r="B91" s="23"/>
      <c r="C91" s="24">
        <v>22.3066</v>
      </c>
      <c r="D91" s="26">
        <v>8.8111200000000007</v>
      </c>
      <c r="E91" s="24">
        <v>11.15</v>
      </c>
      <c r="F91" s="24">
        <v>21.694099999999999</v>
      </c>
      <c r="G91" s="24">
        <v>22.131900000000002</v>
      </c>
    </row>
    <row r="92" spans="1:14" ht="12.75" x14ac:dyDescent="0.2">
      <c r="I92" s="23" t="s">
        <v>236</v>
      </c>
      <c r="J92" s="21" t="s">
        <v>237</v>
      </c>
      <c r="K92" s="21" t="s">
        <v>238</v>
      </c>
      <c r="L92" s="21" t="s">
        <v>239</v>
      </c>
    </row>
    <row r="93" spans="1:14" ht="12.75" x14ac:dyDescent="0.2">
      <c r="A93" s="21" t="s">
        <v>16</v>
      </c>
      <c r="B93" s="22">
        <v>1</v>
      </c>
      <c r="C93" s="22">
        <v>2</v>
      </c>
      <c r="D93" s="22">
        <v>3</v>
      </c>
      <c r="E93" s="22">
        <v>4</v>
      </c>
      <c r="F93" s="22">
        <v>5</v>
      </c>
      <c r="G93" s="22">
        <v>6</v>
      </c>
      <c r="H93" s="1"/>
      <c r="I93" s="23">
        <v>1</v>
      </c>
      <c r="J93" s="21" t="s">
        <v>243</v>
      </c>
      <c r="K93" s="21"/>
      <c r="L93" s="21"/>
    </row>
    <row r="94" spans="1:14" ht="12.75" x14ac:dyDescent="0.2">
      <c r="A94" s="21" t="s">
        <v>8</v>
      </c>
      <c r="B94" s="21" t="s">
        <v>220</v>
      </c>
      <c r="C94" s="21" t="s">
        <v>220</v>
      </c>
      <c r="D94" s="21" t="s">
        <v>211</v>
      </c>
      <c r="E94" s="21" t="s">
        <v>211</v>
      </c>
      <c r="F94" s="21" t="s">
        <v>227</v>
      </c>
      <c r="G94" s="21" t="s">
        <v>227</v>
      </c>
      <c r="I94" s="23">
        <v>5</v>
      </c>
      <c r="J94" s="21" t="s">
        <v>243</v>
      </c>
      <c r="K94" s="21"/>
      <c r="L94" s="21"/>
    </row>
    <row r="95" spans="1:14" ht="12.75" x14ac:dyDescent="0.2">
      <c r="A95" s="21" t="s">
        <v>9</v>
      </c>
      <c r="B95" s="21" t="s">
        <v>219</v>
      </c>
      <c r="C95" s="21" t="s">
        <v>219</v>
      </c>
      <c r="D95" s="21" t="s">
        <v>222</v>
      </c>
      <c r="E95" s="21" t="s">
        <v>222</v>
      </c>
      <c r="F95" s="21" t="s">
        <v>228</v>
      </c>
      <c r="G95" s="21" t="s">
        <v>228</v>
      </c>
      <c r="I95" s="23">
        <v>100</v>
      </c>
      <c r="J95" s="21">
        <v>17.48875</v>
      </c>
      <c r="K95" s="21">
        <f>J95*I95</f>
        <v>1748.875</v>
      </c>
      <c r="L95" s="21"/>
    </row>
    <row r="96" spans="1:14" ht="12.75" x14ac:dyDescent="0.2">
      <c r="A96" s="21" t="s">
        <v>10</v>
      </c>
      <c r="B96" s="21" t="s">
        <v>218</v>
      </c>
      <c r="C96" s="21" t="s">
        <v>218</v>
      </c>
      <c r="D96" s="21" t="s">
        <v>223</v>
      </c>
      <c r="E96" s="21" t="s">
        <v>223</v>
      </c>
      <c r="F96" s="21" t="s">
        <v>229</v>
      </c>
      <c r="G96" s="21" t="s">
        <v>229</v>
      </c>
      <c r="I96" s="23">
        <v>500</v>
      </c>
      <c r="J96" s="21">
        <v>9.9806000000000008</v>
      </c>
      <c r="K96" s="21">
        <f>J96*I96</f>
        <v>4990.3</v>
      </c>
      <c r="L96" s="21"/>
    </row>
    <row r="97" spans="1:12" ht="12.75" x14ac:dyDescent="0.2">
      <c r="A97" s="21" t="s">
        <v>11</v>
      </c>
      <c r="B97" s="21" t="s">
        <v>217</v>
      </c>
      <c r="C97" s="21" t="s">
        <v>217</v>
      </c>
      <c r="D97" s="21" t="s">
        <v>224</v>
      </c>
      <c r="E97" s="21" t="s">
        <v>224</v>
      </c>
      <c r="F97" s="21" t="s">
        <v>230</v>
      </c>
      <c r="G97" s="21" t="s">
        <v>230</v>
      </c>
      <c r="I97" s="23">
        <v>1500</v>
      </c>
      <c r="J97" s="21" t="s">
        <v>243</v>
      </c>
      <c r="K97" s="21"/>
      <c r="L97" s="21"/>
    </row>
    <row r="98" spans="1:12" ht="12.75" x14ac:dyDescent="0.2">
      <c r="A98" s="21" t="s">
        <v>12</v>
      </c>
      <c r="B98" s="21" t="s">
        <v>216</v>
      </c>
      <c r="C98" s="21" t="s">
        <v>216</v>
      </c>
      <c r="D98" s="21" t="s">
        <v>210</v>
      </c>
      <c r="E98" s="21" t="s">
        <v>212</v>
      </c>
      <c r="F98" s="21" t="s">
        <v>234</v>
      </c>
      <c r="G98" s="21" t="s">
        <v>234</v>
      </c>
    </row>
    <row r="99" spans="1:12" ht="12.75" x14ac:dyDescent="0.2">
      <c r="A99" s="21" t="s">
        <v>13</v>
      </c>
      <c r="B99" s="21" t="s">
        <v>215</v>
      </c>
      <c r="C99" s="21" t="s">
        <v>215</v>
      </c>
      <c r="D99" s="21" t="s">
        <v>213</v>
      </c>
      <c r="E99" s="21" t="s">
        <v>213</v>
      </c>
      <c r="F99" s="21" t="s">
        <v>231</v>
      </c>
      <c r="G99" s="21" t="s">
        <v>231</v>
      </c>
      <c r="I99" s="23"/>
      <c r="J99" s="21" t="s">
        <v>240</v>
      </c>
      <c r="K99" s="21" t="s">
        <v>241</v>
      </c>
      <c r="L99" s="21" t="s">
        <v>239</v>
      </c>
    </row>
    <row r="100" spans="1:12" ht="12.75" x14ac:dyDescent="0.2">
      <c r="A100" s="21" t="s">
        <v>14</v>
      </c>
      <c r="B100" s="21" t="s">
        <v>214</v>
      </c>
      <c r="C100" s="21" t="s">
        <v>214</v>
      </c>
      <c r="D100" s="21" t="s">
        <v>225</v>
      </c>
      <c r="E100" s="21" t="s">
        <v>225</v>
      </c>
      <c r="F100" s="21" t="s">
        <v>232</v>
      </c>
      <c r="G100" s="21" t="s">
        <v>232</v>
      </c>
      <c r="I100" s="23" t="s">
        <v>278</v>
      </c>
      <c r="J100" s="21"/>
      <c r="K100" s="21" t="s">
        <v>246</v>
      </c>
      <c r="L100" s="21"/>
    </row>
    <row r="101" spans="1:12" ht="12.75" x14ac:dyDescent="0.2">
      <c r="A101" s="21" t="s">
        <v>15</v>
      </c>
      <c r="B101" s="21" t="s">
        <v>52</v>
      </c>
      <c r="C101" s="21" t="s">
        <v>221</v>
      </c>
      <c r="D101" s="21" t="s">
        <v>226</v>
      </c>
      <c r="E101" s="21" t="s">
        <v>226</v>
      </c>
      <c r="F101" s="21" t="s">
        <v>233</v>
      </c>
      <c r="G101" s="21" t="s">
        <v>233</v>
      </c>
      <c r="I101" s="23" t="s">
        <v>279</v>
      </c>
      <c r="J101" s="21">
        <v>40.302999999999997</v>
      </c>
      <c r="K101" s="21">
        <v>53.45</v>
      </c>
      <c r="L101" s="21">
        <f>(K101/J101)*100</f>
        <v>132.62040046646652</v>
      </c>
    </row>
    <row r="102" spans="1:12" ht="15" customHeight="1" x14ac:dyDescent="0.2">
      <c r="I102" s="23" t="s">
        <v>280</v>
      </c>
      <c r="J102" s="21">
        <v>33.729999999999997</v>
      </c>
      <c r="K102" s="21">
        <v>21.913</v>
      </c>
      <c r="L102" s="21">
        <f>(K102/J102)*100</f>
        <v>64.965905721909294</v>
      </c>
    </row>
    <row r="103" spans="1:12" ht="12.75" x14ac:dyDescent="0.2">
      <c r="A103" t="s">
        <v>97</v>
      </c>
      <c r="I103" s="23" t="s">
        <v>281</v>
      </c>
      <c r="J103" s="21"/>
      <c r="K103" s="21">
        <v>22.3066</v>
      </c>
      <c r="L103" s="21"/>
    </row>
    <row r="104" spans="1:12" ht="15" customHeight="1" x14ac:dyDescent="0.2">
      <c r="E104" s="19" t="s">
        <v>208</v>
      </c>
      <c r="F104" s="19"/>
    </row>
    <row r="105" spans="1:12" ht="15" customHeight="1" x14ac:dyDescent="0.2">
      <c r="E105" s="20" t="s">
        <v>209</v>
      </c>
      <c r="F105" s="20"/>
    </row>
    <row r="106" spans="1:12" ht="15" customHeight="1" x14ac:dyDescent="0.2">
      <c r="E106" s="30"/>
      <c r="I106"/>
    </row>
  </sheetData>
  <mergeCells count="3">
    <mergeCell ref="J73:K73"/>
    <mergeCell ref="J90:K90"/>
    <mergeCell ref="N75:P75"/>
  </mergeCells>
  <phoneticPr fontId="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39246-C7CB-43D1-8F75-A8759F437469}">
  <dimension ref="A1:Q109"/>
  <sheetViews>
    <sheetView tabSelected="1" topLeftCell="D71" workbookViewId="0">
      <selection activeCell="N94" sqref="N94"/>
    </sheetView>
  </sheetViews>
  <sheetFormatPr defaultColWidth="9.140625" defaultRowHeight="15" customHeight="1" x14ac:dyDescent="0.2"/>
  <cols>
    <col min="1" max="3" width="13.7109375" style="30" customWidth="1"/>
    <col min="4" max="5" width="12.28515625" style="30" customWidth="1"/>
    <col min="6" max="7" width="20.140625" style="30" customWidth="1"/>
    <col min="8" max="8" width="4.140625" style="30" customWidth="1"/>
    <col min="9" max="9" width="19.5703125" style="30" customWidth="1"/>
    <col min="10" max="12" width="18.28515625" style="30" customWidth="1"/>
    <col min="13" max="13" width="9.140625" style="30"/>
    <col min="14" max="17" width="17.7109375" style="30" customWidth="1"/>
    <col min="18" max="16384" width="9.140625" style="30"/>
  </cols>
  <sheetData>
    <row r="1" spans="1:1" ht="15" customHeight="1" x14ac:dyDescent="0.2">
      <c r="A1" s="30" t="s">
        <v>0</v>
      </c>
    </row>
    <row r="2" spans="1:1" ht="15" customHeight="1" x14ac:dyDescent="0.2">
      <c r="A2" s="30" t="s">
        <v>247</v>
      </c>
    </row>
    <row r="3" spans="1:1" ht="15" customHeight="1" x14ac:dyDescent="0.2">
      <c r="A3" s="30" t="s">
        <v>248</v>
      </c>
    </row>
    <row r="4" spans="1:1" ht="15" customHeight="1" x14ac:dyDescent="0.2">
      <c r="A4" s="30" t="s">
        <v>3</v>
      </c>
    </row>
    <row r="5" spans="1:1" ht="15" customHeight="1" x14ac:dyDescent="0.2">
      <c r="A5" s="30" t="s">
        <v>249</v>
      </c>
    </row>
    <row r="7" spans="1:1" ht="15" customHeight="1" x14ac:dyDescent="0.2">
      <c r="A7" s="30" t="s">
        <v>250</v>
      </c>
    </row>
    <row r="8" spans="1:1" ht="15" customHeight="1" x14ac:dyDescent="0.2">
      <c r="A8" s="30" t="s">
        <v>61</v>
      </c>
    </row>
    <row r="9" spans="1:1" ht="15" customHeight="1" x14ac:dyDescent="0.2">
      <c r="A9" s="30" t="s">
        <v>62</v>
      </c>
    </row>
    <row r="10" spans="1:1" ht="15" customHeight="1" x14ac:dyDescent="0.2">
      <c r="A10" s="30" t="s">
        <v>63</v>
      </c>
    </row>
    <row r="11" spans="1:1" ht="15" customHeight="1" x14ac:dyDescent="0.2">
      <c r="A11" s="30" t="s">
        <v>64</v>
      </c>
    </row>
    <row r="12" spans="1:1" ht="15" customHeight="1" x14ac:dyDescent="0.2">
      <c r="A12" s="30" t="s">
        <v>3</v>
      </c>
    </row>
    <row r="14" spans="1:1" ht="15" customHeight="1" x14ac:dyDescent="0.2">
      <c r="A14" s="30" t="s">
        <v>3</v>
      </c>
    </row>
    <row r="35" spans="1:7" ht="15" customHeight="1" x14ac:dyDescent="0.2">
      <c r="A35" s="30" t="s">
        <v>251</v>
      </c>
    </row>
    <row r="37" spans="1:7" ht="15" customHeight="1" x14ac:dyDescent="0.2">
      <c r="A37" s="30" t="s">
        <v>252</v>
      </c>
    </row>
    <row r="38" spans="1:7" ht="15" customHeight="1" x14ac:dyDescent="0.2">
      <c r="A38" s="30" t="s">
        <v>67</v>
      </c>
    </row>
    <row r="39" spans="1:7" ht="12.75" x14ac:dyDescent="0.2">
      <c r="A39" s="30" t="s">
        <v>68</v>
      </c>
      <c r="B39" s="31">
        <v>1.8765299999999999E-2</v>
      </c>
    </row>
    <row r="40" spans="1:7" ht="12.75" x14ac:dyDescent="0.2">
      <c r="A40" s="30" t="s">
        <v>69</v>
      </c>
      <c r="B40" s="32">
        <v>-1.90404</v>
      </c>
    </row>
    <row r="41" spans="1:7" ht="12.75" x14ac:dyDescent="0.2">
      <c r="A41" s="30" t="s">
        <v>70</v>
      </c>
      <c r="B41" s="32">
        <v>2.97804</v>
      </c>
    </row>
    <row r="42" spans="1:7" ht="12.75" x14ac:dyDescent="0.2">
      <c r="A42" s="30" t="s">
        <v>71</v>
      </c>
      <c r="B42" s="33">
        <v>0.68703499999999995</v>
      </c>
    </row>
    <row r="43" spans="1:7" ht="12.75" x14ac:dyDescent="0.2">
      <c r="A43" s="30" t="s">
        <v>253</v>
      </c>
      <c r="B43" s="30">
        <v>10</v>
      </c>
    </row>
    <row r="44" spans="1:7" ht="12.75" x14ac:dyDescent="0.2"/>
    <row r="45" spans="1:7" ht="12.75" x14ac:dyDescent="0.2">
      <c r="A45" s="30" t="s">
        <v>254</v>
      </c>
    </row>
    <row r="46" spans="1:7" ht="12.75" x14ac:dyDescent="0.2">
      <c r="A46" s="30" t="s">
        <v>3</v>
      </c>
    </row>
    <row r="47" spans="1:7" ht="12.75" x14ac:dyDescent="0.2">
      <c r="A47" s="30" t="s">
        <v>73</v>
      </c>
      <c r="B47" s="30" t="s">
        <v>16</v>
      </c>
      <c r="C47" s="30" t="s">
        <v>255</v>
      </c>
      <c r="D47" s="30" t="s">
        <v>75</v>
      </c>
      <c r="E47" s="30" t="s">
        <v>76</v>
      </c>
      <c r="F47" s="30" t="s">
        <v>77</v>
      </c>
      <c r="G47" s="30" t="s">
        <v>78</v>
      </c>
    </row>
    <row r="48" spans="1:7" ht="12.75" x14ac:dyDescent="0.2">
      <c r="A48" s="30" t="s">
        <v>79</v>
      </c>
      <c r="B48" s="30" t="s">
        <v>47</v>
      </c>
      <c r="C48" s="34">
        <v>200</v>
      </c>
      <c r="D48" s="31">
        <v>1.6800099999999998E-2</v>
      </c>
      <c r="E48" s="30" t="s">
        <v>256</v>
      </c>
      <c r="F48" s="31">
        <v>2.0979899999999999E-2</v>
      </c>
      <c r="G48" s="35">
        <v>-4.1797500000000003E-3</v>
      </c>
    </row>
    <row r="49" spans="1:7" ht="12.75" x14ac:dyDescent="0.2">
      <c r="A49" s="30" t="s">
        <v>257</v>
      </c>
      <c r="B49" s="30" t="s">
        <v>47</v>
      </c>
      <c r="C49" s="34">
        <v>200</v>
      </c>
      <c r="D49" s="31">
        <v>1.6800099999999998E-2</v>
      </c>
      <c r="F49" s="31">
        <v>2.0979899999999999E-2</v>
      </c>
      <c r="G49" s="35">
        <v>-4.1797500000000003E-3</v>
      </c>
    </row>
    <row r="50" spans="1:7" ht="12.75" x14ac:dyDescent="0.2">
      <c r="A50" s="30" t="s">
        <v>79</v>
      </c>
      <c r="B50" s="30" t="s">
        <v>42</v>
      </c>
      <c r="C50" s="34">
        <v>100</v>
      </c>
      <c r="D50" s="31">
        <v>1.9765100000000001E-2</v>
      </c>
      <c r="E50" s="36">
        <v>33.916200000000003</v>
      </c>
      <c r="F50" s="31">
        <v>2.70122E-2</v>
      </c>
      <c r="G50" s="35">
        <v>-7.2470199999999999E-3</v>
      </c>
    </row>
    <row r="51" spans="1:7" ht="12.75" x14ac:dyDescent="0.2">
      <c r="A51" s="30" t="s">
        <v>80</v>
      </c>
      <c r="B51" s="30" t="s">
        <v>42</v>
      </c>
      <c r="C51" s="34">
        <v>100</v>
      </c>
      <c r="D51" s="31">
        <v>2.4505300000000001E-2</v>
      </c>
      <c r="F51" s="31">
        <v>2.70122E-2</v>
      </c>
      <c r="G51" s="35">
        <v>-2.50687E-3</v>
      </c>
    </row>
    <row r="52" spans="1:7" ht="12.75" x14ac:dyDescent="0.2">
      <c r="A52" s="30" t="s">
        <v>81</v>
      </c>
      <c r="B52" s="30" t="s">
        <v>42</v>
      </c>
      <c r="C52" s="34">
        <v>100</v>
      </c>
      <c r="D52" s="31">
        <v>1.5025E-2</v>
      </c>
      <c r="F52" s="31">
        <v>2.70122E-2</v>
      </c>
      <c r="G52" s="31">
        <v>-1.19872E-2</v>
      </c>
    </row>
    <row r="53" spans="1:7" ht="12.75" x14ac:dyDescent="0.2">
      <c r="A53" s="30" t="s">
        <v>79</v>
      </c>
      <c r="B53" s="30" t="s">
        <v>37</v>
      </c>
      <c r="C53" s="36">
        <v>50</v>
      </c>
      <c r="D53" s="31">
        <v>6.7328200000000005E-2</v>
      </c>
      <c r="E53" s="36">
        <v>28.0519</v>
      </c>
      <c r="F53" s="31">
        <v>4.9061100000000003E-2</v>
      </c>
      <c r="G53" s="31">
        <v>1.8267100000000001E-2</v>
      </c>
    </row>
    <row r="54" spans="1:7" ht="12.75" x14ac:dyDescent="0.2">
      <c r="A54" s="30" t="s">
        <v>82</v>
      </c>
      <c r="B54" s="30" t="s">
        <v>37</v>
      </c>
      <c r="C54" s="36">
        <v>50</v>
      </c>
      <c r="D54" s="31">
        <v>8.0683199999999997E-2</v>
      </c>
      <c r="F54" s="31">
        <v>4.9061100000000003E-2</v>
      </c>
      <c r="G54" s="31">
        <v>3.16221E-2</v>
      </c>
    </row>
    <row r="55" spans="1:7" ht="12.75" x14ac:dyDescent="0.2">
      <c r="A55" s="30" t="s">
        <v>83</v>
      </c>
      <c r="B55" s="30" t="s">
        <v>37</v>
      </c>
      <c r="C55" s="36">
        <v>50</v>
      </c>
      <c r="D55" s="31">
        <v>5.3973199999999999E-2</v>
      </c>
      <c r="F55" s="31">
        <v>4.9061100000000003E-2</v>
      </c>
      <c r="G55" s="35">
        <v>4.91209E-3</v>
      </c>
    </row>
    <row r="56" spans="1:7" ht="12.75" x14ac:dyDescent="0.2">
      <c r="A56" s="30" t="s">
        <v>79</v>
      </c>
      <c r="B56" s="30" t="s">
        <v>32</v>
      </c>
      <c r="C56" s="36">
        <v>25</v>
      </c>
      <c r="D56" s="33">
        <v>0.11623</v>
      </c>
      <c r="E56" s="36">
        <v>17.835100000000001</v>
      </c>
      <c r="F56" s="33">
        <v>0.124671</v>
      </c>
      <c r="G56" s="35">
        <v>-8.4407600000000003E-3</v>
      </c>
    </row>
    <row r="57" spans="1:7" ht="12.75" x14ac:dyDescent="0.2">
      <c r="A57" s="30" t="s">
        <v>84</v>
      </c>
      <c r="B57" s="30" t="s">
        <v>32</v>
      </c>
      <c r="C57" s="36">
        <v>25</v>
      </c>
      <c r="D57" s="33">
        <v>0.130888</v>
      </c>
      <c r="F57" s="33">
        <v>0.124671</v>
      </c>
      <c r="G57" s="35">
        <v>6.2173899999999997E-3</v>
      </c>
    </row>
    <row r="58" spans="1:7" ht="12.75" x14ac:dyDescent="0.2">
      <c r="A58" s="30" t="s">
        <v>85</v>
      </c>
      <c r="B58" s="30" t="s">
        <v>32</v>
      </c>
      <c r="C58" s="36">
        <v>25</v>
      </c>
      <c r="D58" s="33">
        <v>0.101572</v>
      </c>
      <c r="F58" s="33">
        <v>0.124671</v>
      </c>
      <c r="G58" s="31">
        <v>-2.3098899999999999E-2</v>
      </c>
    </row>
    <row r="59" spans="1:7" ht="12.75" x14ac:dyDescent="0.2">
      <c r="A59" s="30" t="s">
        <v>79</v>
      </c>
      <c r="B59" s="30" t="s">
        <v>27</v>
      </c>
      <c r="C59" s="36">
        <v>12.5</v>
      </c>
      <c r="D59" s="33">
        <v>0.33371099999999998</v>
      </c>
      <c r="E59" s="36">
        <v>33.7682</v>
      </c>
      <c r="F59" s="33">
        <v>0.33148499999999997</v>
      </c>
      <c r="G59" s="35">
        <v>2.2256899999999998E-3</v>
      </c>
    </row>
    <row r="60" spans="1:7" ht="12.75" x14ac:dyDescent="0.2">
      <c r="A60" s="30" t="s">
        <v>86</v>
      </c>
      <c r="B60" s="30" t="s">
        <v>27</v>
      </c>
      <c r="C60" s="36">
        <v>12.5</v>
      </c>
      <c r="D60" s="33">
        <v>0.41339300000000001</v>
      </c>
      <c r="F60" s="33">
        <v>0.33148499999999997</v>
      </c>
      <c r="G60" s="31">
        <v>8.19082E-2</v>
      </c>
    </row>
    <row r="61" spans="1:7" ht="12.75" x14ac:dyDescent="0.2">
      <c r="A61" s="30" t="s">
        <v>87</v>
      </c>
      <c r="B61" s="30" t="s">
        <v>27</v>
      </c>
      <c r="C61" s="36">
        <v>12.5</v>
      </c>
      <c r="D61" s="33">
        <v>0.25402799999999998</v>
      </c>
      <c r="F61" s="33">
        <v>0.33148499999999997</v>
      </c>
      <c r="G61" s="31">
        <v>-7.7456899999999995E-2</v>
      </c>
    </row>
    <row r="62" spans="1:7" ht="12.75" x14ac:dyDescent="0.2">
      <c r="A62" s="30" t="s">
        <v>79</v>
      </c>
      <c r="B62" s="30" t="s">
        <v>22</v>
      </c>
      <c r="C62" s="32">
        <v>6.25</v>
      </c>
      <c r="D62" s="33">
        <v>0.60932699999999995</v>
      </c>
      <c r="E62" s="32">
        <v>8.8820599999999992</v>
      </c>
      <c r="F62" s="33">
        <v>0.61160899999999996</v>
      </c>
      <c r="G62" s="35">
        <v>-2.2825100000000002E-3</v>
      </c>
    </row>
    <row r="63" spans="1:7" ht="12.75" x14ac:dyDescent="0.2">
      <c r="A63" s="30" t="s">
        <v>88</v>
      </c>
      <c r="B63" s="30" t="s">
        <v>22</v>
      </c>
      <c r="C63" s="32">
        <v>6.25</v>
      </c>
      <c r="D63" s="33">
        <v>0.64759599999999995</v>
      </c>
      <c r="F63" s="33">
        <v>0.61160899999999996</v>
      </c>
      <c r="G63" s="31">
        <v>3.5986600000000001E-2</v>
      </c>
    </row>
    <row r="64" spans="1:7" ht="12.75" x14ac:dyDescent="0.2">
      <c r="A64" s="30" t="s">
        <v>89</v>
      </c>
      <c r="B64" s="30" t="s">
        <v>22</v>
      </c>
      <c r="C64" s="32">
        <v>6.25</v>
      </c>
      <c r="D64" s="33">
        <v>0.57105700000000004</v>
      </c>
      <c r="F64" s="33">
        <v>0.61160899999999996</v>
      </c>
      <c r="G64" s="31">
        <v>-4.0551700000000003E-2</v>
      </c>
    </row>
    <row r="65" spans="1:14" ht="12.75" x14ac:dyDescent="0.2">
      <c r="A65" s="30" t="s">
        <v>79</v>
      </c>
      <c r="B65" s="30" t="s">
        <v>17</v>
      </c>
      <c r="C65" s="32">
        <v>3.125</v>
      </c>
      <c r="D65" s="33">
        <v>0.63406300000000004</v>
      </c>
      <c r="E65" s="30" t="s">
        <v>256</v>
      </c>
      <c r="F65" s="33">
        <v>0.68601400000000001</v>
      </c>
      <c r="G65" s="31">
        <v>-5.1950999999999997E-2</v>
      </c>
    </row>
    <row r="66" spans="1:14" ht="12.75" x14ac:dyDescent="0.2">
      <c r="A66" s="30" t="s">
        <v>91</v>
      </c>
      <c r="B66" s="30" t="s">
        <v>17</v>
      </c>
      <c r="C66" s="32">
        <v>3.125</v>
      </c>
      <c r="D66" s="33">
        <v>0.63406300000000004</v>
      </c>
      <c r="F66" s="33">
        <v>0.68601400000000001</v>
      </c>
      <c r="G66" s="31">
        <v>-5.1950999999999997E-2</v>
      </c>
    </row>
    <row r="67" spans="1:14" ht="12.75" x14ac:dyDescent="0.2">
      <c r="A67" s="30" t="s">
        <v>79</v>
      </c>
      <c r="B67" s="30" t="s">
        <v>258</v>
      </c>
      <c r="C67" s="32">
        <v>3.125</v>
      </c>
      <c r="D67" s="33">
        <v>0.81788700000000003</v>
      </c>
      <c r="E67" s="30" t="s">
        <v>256</v>
      </c>
      <c r="F67" s="33">
        <v>0.68601400000000001</v>
      </c>
      <c r="G67" s="33">
        <v>0.13187299999999999</v>
      </c>
    </row>
    <row r="68" spans="1:14" ht="12.75" x14ac:dyDescent="0.2">
      <c r="A68" s="30" t="s">
        <v>90</v>
      </c>
      <c r="B68" s="30" t="s">
        <v>258</v>
      </c>
      <c r="C68" s="32">
        <v>3.125</v>
      </c>
      <c r="D68" s="33">
        <v>0.81788700000000003</v>
      </c>
      <c r="F68" s="33">
        <v>0.68601400000000001</v>
      </c>
      <c r="G68" s="33">
        <v>0.13187299999999999</v>
      </c>
    </row>
    <row r="69" spans="1:14" ht="12.75" x14ac:dyDescent="0.2">
      <c r="A69" s="30" t="s">
        <v>79</v>
      </c>
      <c r="B69" s="30" t="s">
        <v>259</v>
      </c>
      <c r="C69" s="32">
        <v>1.56</v>
      </c>
      <c r="D69" s="33">
        <v>0.64150099999999999</v>
      </c>
      <c r="E69" s="30" t="s">
        <v>256</v>
      </c>
      <c r="F69" s="33">
        <v>0.68703499999999995</v>
      </c>
      <c r="G69" s="31">
        <v>-4.5534400000000003E-2</v>
      </c>
    </row>
    <row r="70" spans="1:14" ht="12.75" x14ac:dyDescent="0.2">
      <c r="A70" s="30" t="s">
        <v>93</v>
      </c>
      <c r="B70" s="30" t="s">
        <v>259</v>
      </c>
      <c r="C70" s="32">
        <v>1.56</v>
      </c>
      <c r="D70" s="33">
        <v>0.64150099999999999</v>
      </c>
      <c r="F70" s="33">
        <v>0.68703499999999995</v>
      </c>
      <c r="G70" s="31">
        <v>-4.5534400000000003E-2</v>
      </c>
    </row>
    <row r="71" spans="1:14" ht="12.75" x14ac:dyDescent="0.2">
      <c r="A71" s="30" t="s">
        <v>79</v>
      </c>
      <c r="B71" s="30" t="s">
        <v>260</v>
      </c>
      <c r="C71" s="33">
        <v>0.78</v>
      </c>
      <c r="D71" s="33">
        <v>0.69426600000000005</v>
      </c>
      <c r="E71" s="30" t="s">
        <v>256</v>
      </c>
      <c r="F71" s="33">
        <v>0.68703499999999995</v>
      </c>
      <c r="G71" s="35">
        <v>7.2305199999999998E-3</v>
      </c>
    </row>
    <row r="72" spans="1:14" ht="12.75" x14ac:dyDescent="0.2">
      <c r="A72" s="30" t="s">
        <v>92</v>
      </c>
      <c r="B72" s="30" t="s">
        <v>260</v>
      </c>
      <c r="C72" s="33">
        <v>0.78</v>
      </c>
      <c r="D72" s="33">
        <v>0.69426600000000005</v>
      </c>
      <c r="F72" s="33">
        <v>0.68703499999999995</v>
      </c>
      <c r="G72" s="35">
        <v>7.2305199999999998E-3</v>
      </c>
    </row>
    <row r="73" spans="1:14" ht="12.75" x14ac:dyDescent="0.2"/>
    <row r="74" spans="1:14" ht="12.75" x14ac:dyDescent="0.2"/>
    <row r="75" spans="1:14" ht="12.75" x14ac:dyDescent="0.2">
      <c r="A75" s="30" t="s">
        <v>6</v>
      </c>
    </row>
    <row r="76" spans="1:14" ht="12.75" x14ac:dyDescent="0.2">
      <c r="A76" s="30" t="s">
        <v>3</v>
      </c>
    </row>
    <row r="77" spans="1:14" ht="12.75" x14ac:dyDescent="0.2">
      <c r="A77" s="23" t="s">
        <v>94</v>
      </c>
      <c r="B77" s="23">
        <v>1</v>
      </c>
      <c r="C77" s="23">
        <v>2</v>
      </c>
      <c r="D77" s="23">
        <v>3</v>
      </c>
      <c r="E77" s="23">
        <v>4</v>
      </c>
      <c r="F77" s="23">
        <v>5</v>
      </c>
      <c r="G77" s="23">
        <v>6</v>
      </c>
      <c r="I77"/>
      <c r="L77"/>
    </row>
    <row r="78" spans="1:14" ht="12.75" x14ac:dyDescent="0.2">
      <c r="A78" s="23" t="s">
        <v>8</v>
      </c>
      <c r="B78" s="25">
        <v>0.69426600000000005</v>
      </c>
      <c r="C78" s="25">
        <v>0.64150099999999999</v>
      </c>
      <c r="D78" s="25">
        <v>0.26987299999999997</v>
      </c>
      <c r="E78" s="25">
        <v>0.263212</v>
      </c>
      <c r="F78" s="28">
        <v>6.8907399999999994E-2</v>
      </c>
      <c r="G78" s="28">
        <v>8.2849199999999998E-2</v>
      </c>
      <c r="I78"/>
      <c r="J78" s="42" t="s">
        <v>235</v>
      </c>
      <c r="K78" s="42"/>
      <c r="L78"/>
    </row>
    <row r="79" spans="1:14" ht="12.75" x14ac:dyDescent="0.2">
      <c r="A79" s="23" t="s">
        <v>9</v>
      </c>
      <c r="B79" s="25">
        <v>0.81788700000000003</v>
      </c>
      <c r="C79" s="25">
        <v>0.63406300000000004</v>
      </c>
      <c r="D79" s="25">
        <v>0.45759300000000003</v>
      </c>
      <c r="E79" s="25">
        <v>0.35758899999999999</v>
      </c>
      <c r="F79" s="28">
        <v>9.1228600000000007E-2</v>
      </c>
      <c r="G79" s="28">
        <v>9.22819E-2</v>
      </c>
      <c r="I79" s="23" t="s">
        <v>236</v>
      </c>
      <c r="J79" s="21" t="s">
        <v>237</v>
      </c>
      <c r="K79" s="21" t="s">
        <v>238</v>
      </c>
      <c r="L79" s="21" t="s">
        <v>239</v>
      </c>
      <c r="N79" s="36"/>
    </row>
    <row r="80" spans="1:14" ht="12.75" x14ac:dyDescent="0.2">
      <c r="A80" s="23" t="s">
        <v>10</v>
      </c>
      <c r="B80" s="25">
        <v>0.64759599999999995</v>
      </c>
      <c r="C80" s="25">
        <v>0.57105700000000004</v>
      </c>
      <c r="D80" s="25">
        <v>0.53753099999999998</v>
      </c>
      <c r="E80" s="25">
        <v>0.65597799999999995</v>
      </c>
      <c r="F80" s="25">
        <v>0.164295</v>
      </c>
      <c r="G80" s="25">
        <v>0.123892</v>
      </c>
      <c r="I80" s="23">
        <v>100</v>
      </c>
      <c r="J80" s="23">
        <v>14.769550000000001</v>
      </c>
      <c r="K80" s="21">
        <f>I80*J80</f>
        <v>1476.9550000000002</v>
      </c>
      <c r="L80" s="21"/>
      <c r="N80" s="36"/>
    </row>
    <row r="81" spans="1:17" ht="12.75" x14ac:dyDescent="0.2">
      <c r="A81" s="23" t="s">
        <v>11</v>
      </c>
      <c r="B81" s="25">
        <v>0.41339300000000001</v>
      </c>
      <c r="C81" s="25">
        <v>0.25402799999999998</v>
      </c>
      <c r="D81" s="25">
        <v>0.54580499999999998</v>
      </c>
      <c r="E81" s="25">
        <v>0.54735599999999995</v>
      </c>
      <c r="F81" s="25">
        <v>0.15681700000000001</v>
      </c>
      <c r="G81" s="25">
        <v>0.14471999999999999</v>
      </c>
      <c r="I81" s="23">
        <v>250</v>
      </c>
      <c r="J81" s="23">
        <v>10.558154999999999</v>
      </c>
      <c r="K81" s="21">
        <f t="shared" ref="K81:K83" si="0">I81*J81</f>
        <v>2639.5387499999997</v>
      </c>
      <c r="L81" s="21"/>
      <c r="N81" s="36"/>
    </row>
    <row r="82" spans="1:17" ht="12.75" x14ac:dyDescent="0.2">
      <c r="A82" s="23" t="s">
        <v>12</v>
      </c>
      <c r="B82" s="25">
        <v>0.130888</v>
      </c>
      <c r="C82" s="25">
        <v>0.101572</v>
      </c>
      <c r="D82" s="25">
        <v>0.195186</v>
      </c>
      <c r="E82" s="25">
        <v>0.25165599999999999</v>
      </c>
      <c r="F82" s="28">
        <v>8.5238800000000003E-2</v>
      </c>
      <c r="G82" s="28">
        <v>4.6554900000000003E-2</v>
      </c>
      <c r="I82" s="23">
        <v>500</v>
      </c>
      <c r="J82" s="23">
        <v>6.4285150000000009</v>
      </c>
      <c r="K82" s="21">
        <f t="shared" si="0"/>
        <v>3214.2575000000006</v>
      </c>
      <c r="L82" s="21"/>
      <c r="M82" s="37"/>
      <c r="N82" s="37"/>
      <c r="O82" s="37"/>
      <c r="P82" s="37"/>
      <c r="Q82" s="37"/>
    </row>
    <row r="83" spans="1:17" ht="12.75" x14ac:dyDescent="0.2">
      <c r="A83" s="23" t="s">
        <v>13</v>
      </c>
      <c r="B83" s="28">
        <v>8.0683199999999997E-2</v>
      </c>
      <c r="C83" s="28">
        <v>5.3973199999999999E-2</v>
      </c>
      <c r="D83" s="25">
        <v>0.24331900000000001</v>
      </c>
      <c r="E83" s="25">
        <v>0.33795900000000001</v>
      </c>
      <c r="F83" s="25">
        <v>0.105184</v>
      </c>
      <c r="G83" s="28">
        <v>8.3113000000000006E-2</v>
      </c>
      <c r="I83" s="23">
        <v>1000</v>
      </c>
      <c r="J83" s="23">
        <v>7.5806850000000008</v>
      </c>
      <c r="K83" s="21">
        <f t="shared" si="0"/>
        <v>7580.6850000000004</v>
      </c>
      <c r="L83" s="21"/>
      <c r="N83" s="36"/>
    </row>
    <row r="84" spans="1:17" ht="12.75" x14ac:dyDescent="0.2">
      <c r="A84" s="23" t="s">
        <v>14</v>
      </c>
      <c r="B84" s="28">
        <v>2.4505300000000001E-2</v>
      </c>
      <c r="C84" s="28">
        <v>1.5025E-2</v>
      </c>
      <c r="D84" s="25">
        <v>0.352661</v>
      </c>
      <c r="E84" s="25">
        <v>0.357437</v>
      </c>
      <c r="F84" s="25">
        <v>0.110148</v>
      </c>
      <c r="G84" s="25">
        <v>0.14047200000000001</v>
      </c>
      <c r="K84"/>
      <c r="L84"/>
      <c r="N84" s="43" t="s">
        <v>282</v>
      </c>
      <c r="O84" s="44"/>
      <c r="P84" s="44"/>
      <c r="Q84" s="39"/>
    </row>
    <row r="85" spans="1:17" ht="12.75" x14ac:dyDescent="0.2">
      <c r="A85" s="23" t="s">
        <v>15</v>
      </c>
      <c r="B85" s="23"/>
      <c r="C85" s="28">
        <v>1.6800099999999998E-2</v>
      </c>
      <c r="D85" s="25">
        <v>0.59766300000000006</v>
      </c>
      <c r="E85" s="25">
        <v>0.43400499999999997</v>
      </c>
      <c r="F85" s="25">
        <v>0.14363200000000001</v>
      </c>
      <c r="G85" s="25">
        <v>0.18203</v>
      </c>
      <c r="I85"/>
      <c r="J85"/>
      <c r="K85"/>
      <c r="L85"/>
      <c r="N85" s="40" t="s">
        <v>283</v>
      </c>
      <c r="O85" s="40" t="s">
        <v>284</v>
      </c>
      <c r="P85" s="40" t="s">
        <v>285</v>
      </c>
      <c r="Q85" s="41" t="s">
        <v>286</v>
      </c>
    </row>
    <row r="86" spans="1:17" ht="12.75" x14ac:dyDescent="0.2">
      <c r="I86" s="23"/>
      <c r="J86" s="21" t="s">
        <v>240</v>
      </c>
      <c r="K86" s="21" t="s">
        <v>241</v>
      </c>
      <c r="L86" s="21" t="s">
        <v>239</v>
      </c>
      <c r="N86" s="40">
        <v>119</v>
      </c>
      <c r="O86" s="40">
        <v>17</v>
      </c>
      <c r="P86" s="21">
        <v>200</v>
      </c>
      <c r="Q86" s="23">
        <v>25</v>
      </c>
    </row>
    <row r="87" spans="1:17" ht="12.75" x14ac:dyDescent="0.2">
      <c r="A87" s="23" t="s">
        <v>255</v>
      </c>
      <c r="B87" s="23">
        <v>1</v>
      </c>
      <c r="C87" s="23">
        <v>2</v>
      </c>
      <c r="D87" s="23">
        <v>3</v>
      </c>
      <c r="E87" s="23">
        <v>4</v>
      </c>
      <c r="F87" s="23">
        <v>5</v>
      </c>
      <c r="G87" s="23">
        <v>6</v>
      </c>
      <c r="I87" s="23" t="s">
        <v>294</v>
      </c>
      <c r="J87" s="21">
        <v>37.923356250000005</v>
      </c>
      <c r="K87" s="21">
        <v>35.622250000000001</v>
      </c>
      <c r="L87" s="21">
        <f>(K87/J87)*100</f>
        <v>93.932218881602807</v>
      </c>
      <c r="N87" s="36"/>
    </row>
    <row r="88" spans="1:17" ht="12.75" x14ac:dyDescent="0.2">
      <c r="A88" s="23" t="s">
        <v>8</v>
      </c>
      <c r="B88" s="23" t="s">
        <v>96</v>
      </c>
      <c r="C88" s="26">
        <v>5.5261699999999996</v>
      </c>
      <c r="D88" s="24">
        <v>14.633800000000001</v>
      </c>
      <c r="E88" s="24">
        <v>14.9053</v>
      </c>
      <c r="F88" s="24">
        <v>38.029299999999999</v>
      </c>
      <c r="G88" s="24">
        <v>33.215200000000003</v>
      </c>
      <c r="I88" s="23" t="s">
        <v>295</v>
      </c>
      <c r="J88" s="21">
        <v>34.238385624999999</v>
      </c>
      <c r="K88" s="21">
        <v>30.89105</v>
      </c>
      <c r="L88" s="21">
        <f t="shared" ref="L88:L90" si="1">(K88/J88)*100</f>
        <v>90.223442011366743</v>
      </c>
      <c r="N88" s="36"/>
    </row>
    <row r="89" spans="1:17" ht="12.75" x14ac:dyDescent="0.2">
      <c r="A89" s="23" t="s">
        <v>9</v>
      </c>
      <c r="B89" s="23" t="s">
        <v>96</v>
      </c>
      <c r="C89" s="26">
        <v>5.7206799999999998</v>
      </c>
      <c r="D89" s="26">
        <v>9.3670100000000005</v>
      </c>
      <c r="E89" s="24">
        <v>11.7493</v>
      </c>
      <c r="F89" s="24">
        <v>31.015899999999998</v>
      </c>
      <c r="G89" s="24">
        <v>30.766200000000001</v>
      </c>
      <c r="I89" s="23" t="s">
        <v>276</v>
      </c>
      <c r="J89" s="21">
        <v>30.624950625000004</v>
      </c>
      <c r="K89" s="21">
        <v>22.917650000000002</v>
      </c>
      <c r="L89" s="21">
        <f t="shared" si="1"/>
        <v>74.833263506690145</v>
      </c>
      <c r="N89" s="36"/>
    </row>
    <row r="90" spans="1:17" ht="12.75" x14ac:dyDescent="0.2">
      <c r="A90" s="23" t="s">
        <v>10</v>
      </c>
      <c r="B90" s="26">
        <v>5.3557899999999998</v>
      </c>
      <c r="C90" s="26">
        <v>7.0966500000000003</v>
      </c>
      <c r="D90" s="26">
        <v>7.7581300000000004</v>
      </c>
      <c r="E90" s="26">
        <v>5.0989000000000004</v>
      </c>
      <c r="F90" s="24">
        <v>20.728400000000001</v>
      </c>
      <c r="G90" s="24">
        <v>25.1069</v>
      </c>
      <c r="I90" s="23" t="s">
        <v>296</v>
      </c>
      <c r="J90" s="21">
        <v>31.633099375</v>
      </c>
      <c r="K90" s="21">
        <v>21.994050000000001</v>
      </c>
      <c r="L90" s="21">
        <f t="shared" si="1"/>
        <v>69.528596421323641</v>
      </c>
    </row>
    <row r="91" spans="1:17" ht="12.75" x14ac:dyDescent="0.2">
      <c r="A91" s="23" t="s">
        <v>11</v>
      </c>
      <c r="B91" s="24">
        <v>10.3447</v>
      </c>
      <c r="C91" s="24">
        <v>15.2963</v>
      </c>
      <c r="D91" s="26">
        <v>7.5959000000000003</v>
      </c>
      <c r="E91" s="26">
        <v>7.5654700000000004</v>
      </c>
      <c r="F91" s="24">
        <v>21.395199999999999</v>
      </c>
      <c r="G91" s="24">
        <v>22.5929</v>
      </c>
      <c r="I91"/>
      <c r="J91"/>
      <c r="K91"/>
      <c r="L91"/>
    </row>
    <row r="92" spans="1:17" ht="12.75" x14ac:dyDescent="0.2">
      <c r="A92" s="23" t="s">
        <v>12</v>
      </c>
      <c r="B92" s="24">
        <v>24.186399999999999</v>
      </c>
      <c r="C92" s="24">
        <v>28.773599999999998</v>
      </c>
      <c r="D92" s="24">
        <v>18.421900000000001</v>
      </c>
      <c r="E92" s="24">
        <v>15.400600000000001</v>
      </c>
      <c r="F92" s="24">
        <v>32.545999999999999</v>
      </c>
      <c r="G92" s="24">
        <v>52.378599999999999</v>
      </c>
      <c r="I92"/>
      <c r="J92"/>
      <c r="K92"/>
      <c r="L92"/>
    </row>
    <row r="93" spans="1:17" ht="12.75" x14ac:dyDescent="0.2">
      <c r="A93" s="23" t="s">
        <v>13</v>
      </c>
      <c r="B93" s="24">
        <v>33.854900000000001</v>
      </c>
      <c r="C93" s="24">
        <v>46.1036</v>
      </c>
      <c r="D93" s="24">
        <v>15.7791</v>
      </c>
      <c r="E93" s="24">
        <v>12.307</v>
      </c>
      <c r="F93" s="24">
        <v>28.086300000000001</v>
      </c>
      <c r="G93" s="24">
        <v>33.139499999999998</v>
      </c>
      <c r="I93"/>
      <c r="J93"/>
      <c r="K93"/>
      <c r="L93"/>
    </row>
    <row r="94" spans="1:17" ht="12.75" x14ac:dyDescent="0.2">
      <c r="A94" s="23" t="s">
        <v>14</v>
      </c>
      <c r="B94" s="38">
        <v>121.096</v>
      </c>
      <c r="C94" s="23" t="s">
        <v>95</v>
      </c>
      <c r="D94" s="24">
        <v>11.8856</v>
      </c>
      <c r="E94" s="24">
        <v>11.753399999999999</v>
      </c>
      <c r="F94" s="24">
        <v>27.208400000000001</v>
      </c>
      <c r="G94" s="24">
        <v>23.053999999999998</v>
      </c>
      <c r="I94"/>
      <c r="L94"/>
    </row>
    <row r="95" spans="1:17" ht="12.75" x14ac:dyDescent="0.2">
      <c r="A95" s="23" t="s">
        <v>15</v>
      </c>
      <c r="B95" s="23"/>
      <c r="C95" s="23" t="s">
        <v>95</v>
      </c>
      <c r="D95" s="26">
        <v>6.5516100000000002</v>
      </c>
      <c r="E95" s="26">
        <v>9.8771799999999992</v>
      </c>
      <c r="F95" s="24">
        <v>22.7087</v>
      </c>
      <c r="G95" s="24">
        <v>19.3276</v>
      </c>
      <c r="I95"/>
      <c r="J95" s="42" t="s">
        <v>242</v>
      </c>
      <c r="K95" s="42"/>
      <c r="L95"/>
    </row>
    <row r="96" spans="1:17" ht="12.75" x14ac:dyDescent="0.2">
      <c r="I96" s="23" t="s">
        <v>236</v>
      </c>
      <c r="J96" s="21" t="s">
        <v>237</v>
      </c>
      <c r="K96" s="21" t="s">
        <v>238</v>
      </c>
      <c r="L96" s="21" t="s">
        <v>239</v>
      </c>
    </row>
    <row r="97" spans="1:17" ht="12.75" x14ac:dyDescent="0.2">
      <c r="A97" s="23" t="s">
        <v>16</v>
      </c>
      <c r="B97" s="23">
        <v>1</v>
      </c>
      <c r="C97" s="23">
        <v>2</v>
      </c>
      <c r="D97" s="23">
        <v>3</v>
      </c>
      <c r="E97" s="23">
        <v>4</v>
      </c>
      <c r="F97" s="23">
        <v>5</v>
      </c>
      <c r="G97" s="23">
        <v>6</v>
      </c>
      <c r="I97" s="23">
        <v>100</v>
      </c>
      <c r="J97" s="21">
        <v>16.911250000000003</v>
      </c>
      <c r="K97" s="21">
        <f>I97*J97</f>
        <v>1691.1250000000002</v>
      </c>
      <c r="L97" s="21"/>
    </row>
    <row r="98" spans="1:17" ht="12.75" x14ac:dyDescent="0.2">
      <c r="A98" s="23" t="s">
        <v>8</v>
      </c>
      <c r="B98" s="23" t="s">
        <v>261</v>
      </c>
      <c r="C98" s="23" t="s">
        <v>262</v>
      </c>
      <c r="D98" s="23" t="s">
        <v>222</v>
      </c>
      <c r="E98" s="23" t="s">
        <v>222</v>
      </c>
      <c r="F98" s="23" t="s">
        <v>263</v>
      </c>
      <c r="G98" s="23" t="s">
        <v>263</v>
      </c>
      <c r="I98" s="23">
        <v>250</v>
      </c>
      <c r="J98" s="21">
        <v>14.043050000000001</v>
      </c>
      <c r="K98" s="21">
        <f t="shared" ref="K98:K100" si="2">I98*J98</f>
        <v>3510.7625000000003</v>
      </c>
      <c r="L98" s="21"/>
    </row>
    <row r="99" spans="1:17" ht="12.75" x14ac:dyDescent="0.2">
      <c r="A99" s="23" t="s">
        <v>9</v>
      </c>
      <c r="B99" s="23" t="s">
        <v>220</v>
      </c>
      <c r="C99" s="23" t="s">
        <v>220</v>
      </c>
      <c r="D99" s="23" t="s">
        <v>264</v>
      </c>
      <c r="E99" s="23" t="s">
        <v>264</v>
      </c>
      <c r="F99" s="23" t="s">
        <v>265</v>
      </c>
      <c r="G99" s="23" t="s">
        <v>265</v>
      </c>
      <c r="I99" s="23">
        <v>500</v>
      </c>
      <c r="J99" s="21">
        <v>11.8195</v>
      </c>
      <c r="K99" s="21">
        <f t="shared" si="2"/>
        <v>5909.75</v>
      </c>
      <c r="L99" s="21"/>
      <c r="M99" s="37"/>
      <c r="N99" s="37"/>
      <c r="O99" s="37"/>
      <c r="P99" s="37"/>
      <c r="Q99" s="37"/>
    </row>
    <row r="100" spans="1:17" ht="12.75" x14ac:dyDescent="0.2">
      <c r="A100" s="23" t="s">
        <v>10</v>
      </c>
      <c r="B100" s="23" t="s">
        <v>219</v>
      </c>
      <c r="C100" s="23" t="s">
        <v>219</v>
      </c>
      <c r="D100" s="23" t="s">
        <v>223</v>
      </c>
      <c r="E100" s="23" t="s">
        <v>223</v>
      </c>
      <c r="F100" s="23" t="s">
        <v>230</v>
      </c>
      <c r="G100" s="23" t="s">
        <v>230</v>
      </c>
      <c r="I100" s="23">
        <v>1000</v>
      </c>
      <c r="J100" s="21">
        <v>8.2143949999999997</v>
      </c>
      <c r="K100" s="21">
        <f t="shared" si="2"/>
        <v>8214.3950000000004</v>
      </c>
      <c r="L100" s="21"/>
    </row>
    <row r="101" spans="1:17" ht="12.75" x14ac:dyDescent="0.2">
      <c r="A101" s="23" t="s">
        <v>11</v>
      </c>
      <c r="B101" s="23" t="s">
        <v>218</v>
      </c>
      <c r="C101" s="23" t="s">
        <v>218</v>
      </c>
      <c r="D101" s="23" t="s">
        <v>266</v>
      </c>
      <c r="E101" s="23" t="s">
        <v>266</v>
      </c>
      <c r="F101" s="23" t="s">
        <v>267</v>
      </c>
      <c r="G101" s="23" t="s">
        <v>267</v>
      </c>
      <c r="J101"/>
      <c r="K101"/>
      <c r="L101"/>
    </row>
    <row r="102" spans="1:17" ht="12.75" x14ac:dyDescent="0.2">
      <c r="A102" s="23" t="s">
        <v>12</v>
      </c>
      <c r="B102" s="23" t="s">
        <v>217</v>
      </c>
      <c r="C102" s="23" t="s">
        <v>217</v>
      </c>
      <c r="D102" s="23" t="s">
        <v>225</v>
      </c>
      <c r="E102" s="23" t="s">
        <v>225</v>
      </c>
      <c r="F102" s="23" t="s">
        <v>268</v>
      </c>
      <c r="G102" s="23" t="s">
        <v>268</v>
      </c>
      <c r="I102"/>
      <c r="J102"/>
      <c r="K102"/>
      <c r="L102"/>
    </row>
    <row r="103" spans="1:17" ht="12.75" x14ac:dyDescent="0.2">
      <c r="A103" s="23" t="s">
        <v>13</v>
      </c>
      <c r="B103" s="23" t="s">
        <v>216</v>
      </c>
      <c r="C103" s="23" t="s">
        <v>216</v>
      </c>
      <c r="D103" s="23" t="s">
        <v>269</v>
      </c>
      <c r="E103" s="23" t="s">
        <v>269</v>
      </c>
      <c r="F103" s="23" t="s">
        <v>270</v>
      </c>
      <c r="G103" s="23" t="s">
        <v>270</v>
      </c>
      <c r="I103" s="23"/>
      <c r="J103" s="21" t="s">
        <v>240</v>
      </c>
      <c r="K103" s="21" t="s">
        <v>241</v>
      </c>
      <c r="L103" s="21" t="s">
        <v>239</v>
      </c>
    </row>
    <row r="104" spans="1:17" ht="12.75" x14ac:dyDescent="0.2">
      <c r="A104" s="23" t="s">
        <v>14</v>
      </c>
      <c r="B104" s="23" t="s">
        <v>215</v>
      </c>
      <c r="C104" s="23" t="s">
        <v>215</v>
      </c>
      <c r="D104" s="23" t="s">
        <v>226</v>
      </c>
      <c r="E104" s="23" t="s">
        <v>226</v>
      </c>
      <c r="F104" s="23" t="s">
        <v>233</v>
      </c>
      <c r="G104" s="23" t="s">
        <v>233</v>
      </c>
      <c r="I104" s="23" t="s">
        <v>297</v>
      </c>
      <c r="J104" s="21">
        <v>39.797343750000003</v>
      </c>
      <c r="K104" s="21">
        <v>42.462299999999999</v>
      </c>
      <c r="L104" s="21">
        <f>(K104/J104)*100</f>
        <v>106.69631688672688</v>
      </c>
    </row>
    <row r="105" spans="1:17" ht="12.75" x14ac:dyDescent="0.2">
      <c r="A105" s="23" t="s">
        <v>15</v>
      </c>
      <c r="B105" s="23" t="s">
        <v>52</v>
      </c>
      <c r="C105" s="23" t="s">
        <v>214</v>
      </c>
      <c r="D105" s="23" t="s">
        <v>271</v>
      </c>
      <c r="E105" s="23" t="s">
        <v>271</v>
      </c>
      <c r="F105" s="23" t="s">
        <v>272</v>
      </c>
      <c r="G105" s="23" t="s">
        <v>272</v>
      </c>
      <c r="I105" s="23" t="s">
        <v>298</v>
      </c>
      <c r="J105" s="21">
        <v>37.287668750000002</v>
      </c>
      <c r="K105" s="21">
        <v>30.6129</v>
      </c>
      <c r="L105" s="21">
        <f t="shared" ref="L105:L107" si="3">(K105/J105)*100</f>
        <v>82.099259691583697</v>
      </c>
    </row>
    <row r="106" spans="1:17" ht="15" customHeight="1" x14ac:dyDescent="0.2">
      <c r="I106" s="23" t="s">
        <v>280</v>
      </c>
      <c r="J106" s="21">
        <v>35.342062499999997</v>
      </c>
      <c r="K106" s="21">
        <v>25.1312</v>
      </c>
      <c r="L106" s="21">
        <f t="shared" si="3"/>
        <v>71.108470254105853</v>
      </c>
    </row>
    <row r="107" spans="1:17" ht="12.75" x14ac:dyDescent="0.2">
      <c r="A107" s="30" t="s">
        <v>273</v>
      </c>
      <c r="I107" s="23" t="s">
        <v>299</v>
      </c>
      <c r="J107" s="21">
        <v>32.187595625</v>
      </c>
      <c r="K107" s="21">
        <v>21.018149999999999</v>
      </c>
      <c r="L107" s="21">
        <f t="shared" si="3"/>
        <v>65.298912801288182</v>
      </c>
    </row>
    <row r="108" spans="1:17" ht="15" customHeight="1" x14ac:dyDescent="0.2">
      <c r="F108" s="19" t="s">
        <v>208</v>
      </c>
      <c r="G108" s="19"/>
    </row>
    <row r="109" spans="1:17" ht="15" customHeight="1" x14ac:dyDescent="0.2">
      <c r="F109" s="20" t="s">
        <v>209</v>
      </c>
      <c r="G109" s="20"/>
    </row>
  </sheetData>
  <mergeCells count="3">
    <mergeCell ref="J78:K78"/>
    <mergeCell ref="J95:K95"/>
    <mergeCell ref="N84:P8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103</v>
      </c>
    </row>
    <row r="3" spans="1:5" ht="15" customHeight="1" x14ac:dyDescent="0.2">
      <c r="B3" t="s">
        <v>104</v>
      </c>
      <c r="E3" t="s">
        <v>105</v>
      </c>
    </row>
    <row r="4" spans="1:5" ht="15" customHeight="1" x14ac:dyDescent="0.2">
      <c r="B4" t="s">
        <v>106</v>
      </c>
      <c r="E4" t="s">
        <v>107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9.28515625" customWidth="1"/>
    <col min="2" max="2" width="14.85546875" customWidth="1"/>
    <col min="4" max="4" width="2" customWidth="1"/>
    <col min="5" max="5" width="51" customWidth="1"/>
  </cols>
  <sheetData>
    <row r="1" spans="1:5" ht="15" customHeight="1" x14ac:dyDescent="0.2">
      <c r="A1" t="s">
        <v>108</v>
      </c>
    </row>
    <row r="3" spans="1:5" ht="15" customHeight="1" x14ac:dyDescent="0.2">
      <c r="B3" t="s">
        <v>109</v>
      </c>
      <c r="E3" t="s">
        <v>1</v>
      </c>
    </row>
    <row r="4" spans="1:5" ht="15" customHeight="1" x14ac:dyDescent="0.2">
      <c r="B4" t="s">
        <v>110</v>
      </c>
    </row>
    <row r="5" spans="1:5" ht="15" customHeight="1" x14ac:dyDescent="0.2">
      <c r="B5" t="s">
        <v>111</v>
      </c>
      <c r="E5" t="s">
        <v>112</v>
      </c>
    </row>
    <row r="6" spans="1:5" ht="15" customHeight="1" x14ac:dyDescent="0.2">
      <c r="B6" t="s">
        <v>113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Instrument information"/>
  <dimension ref="A1:E94"/>
  <sheetViews>
    <sheetView workbookViewId="0"/>
  </sheetViews>
  <sheetFormatPr defaultColWidth="9.140625" defaultRowHeight="15" customHeight="1" x14ac:dyDescent="0.2"/>
  <cols>
    <col min="1" max="1" width="21.5703125" customWidth="1"/>
    <col min="2" max="2" width="19.28515625" customWidth="1"/>
    <col min="3" max="3" width="29" customWidth="1"/>
    <col min="4" max="4" width="2" customWidth="1"/>
    <col min="5" max="5" width="23.7109375" customWidth="1"/>
  </cols>
  <sheetData>
    <row r="1" spans="1:5" ht="15" customHeight="1" x14ac:dyDescent="0.2">
      <c r="A1" t="s">
        <v>114</v>
      </c>
    </row>
    <row r="3" spans="1:5" ht="15" customHeight="1" x14ac:dyDescent="0.2">
      <c r="B3" t="s">
        <v>115</v>
      </c>
      <c r="E3" t="s">
        <v>116</v>
      </c>
    </row>
    <row r="4" spans="1:5" ht="15" customHeight="1" x14ac:dyDescent="0.2">
      <c r="B4" t="s">
        <v>117</v>
      </c>
      <c r="E4" t="s">
        <v>118</v>
      </c>
    </row>
    <row r="5" spans="1:5" ht="15" customHeight="1" x14ac:dyDescent="0.2">
      <c r="B5" t="s">
        <v>119</v>
      </c>
      <c r="E5" t="s">
        <v>120</v>
      </c>
    </row>
    <row r="6" spans="1:5" ht="15" customHeight="1" x14ac:dyDescent="0.2">
      <c r="B6" t="s">
        <v>121</v>
      </c>
      <c r="E6" t="s">
        <v>122</v>
      </c>
    </row>
    <row r="8" spans="1:5" ht="15" customHeight="1" x14ac:dyDescent="0.2">
      <c r="B8" t="s">
        <v>123</v>
      </c>
    </row>
    <row r="10" spans="1:5" ht="15" customHeight="1" x14ac:dyDescent="0.2">
      <c r="B10" t="s">
        <v>124</v>
      </c>
    </row>
    <row r="11" spans="1:5" ht="15" customHeight="1" x14ac:dyDescent="0.2">
      <c r="C11" t="s">
        <v>125</v>
      </c>
      <c r="E11" t="s">
        <v>126</v>
      </c>
    </row>
    <row r="12" spans="1:5" ht="15" customHeight="1" x14ac:dyDescent="0.2">
      <c r="C12" t="s">
        <v>115</v>
      </c>
      <c r="E12" t="s">
        <v>127</v>
      </c>
    </row>
    <row r="13" spans="1:5" ht="15" customHeight="1" x14ac:dyDescent="0.2">
      <c r="C13" t="s">
        <v>128</v>
      </c>
      <c r="E13" t="s">
        <v>129</v>
      </c>
    </row>
    <row r="14" spans="1:5" ht="15" customHeight="1" x14ac:dyDescent="0.2">
      <c r="C14" t="s">
        <v>130</v>
      </c>
      <c r="E14" t="s">
        <v>131</v>
      </c>
    </row>
    <row r="15" spans="1:5" ht="15" customHeight="1" x14ac:dyDescent="0.2">
      <c r="C15" t="s">
        <v>132</v>
      </c>
      <c r="E15" t="s">
        <v>133</v>
      </c>
    </row>
    <row r="16" spans="1:5" ht="15" customHeight="1" x14ac:dyDescent="0.2">
      <c r="C16" t="s">
        <v>134</v>
      </c>
      <c r="E16" t="s">
        <v>135</v>
      </c>
    </row>
    <row r="18" spans="2:5" ht="15" customHeight="1" x14ac:dyDescent="0.2">
      <c r="B18" t="s">
        <v>124</v>
      </c>
    </row>
    <row r="19" spans="2:5" ht="15" customHeight="1" x14ac:dyDescent="0.2">
      <c r="C19" t="s">
        <v>125</v>
      </c>
      <c r="E19" t="s">
        <v>136</v>
      </c>
    </row>
    <row r="20" spans="2:5" ht="15" customHeight="1" x14ac:dyDescent="0.2">
      <c r="C20" t="s">
        <v>115</v>
      </c>
      <c r="E20" t="s">
        <v>137</v>
      </c>
    </row>
    <row r="21" spans="2:5" ht="15" customHeight="1" x14ac:dyDescent="0.2">
      <c r="C21" t="s">
        <v>128</v>
      </c>
      <c r="E21" t="s">
        <v>138</v>
      </c>
    </row>
    <row r="22" spans="2:5" ht="15" customHeight="1" x14ac:dyDescent="0.2">
      <c r="C22" t="s">
        <v>130</v>
      </c>
      <c r="E22" t="s">
        <v>139</v>
      </c>
    </row>
    <row r="23" spans="2:5" ht="15" customHeight="1" x14ac:dyDescent="0.2">
      <c r="C23" t="s">
        <v>132</v>
      </c>
      <c r="E23" t="s">
        <v>133</v>
      </c>
    </row>
    <row r="24" spans="2:5" ht="15" customHeight="1" x14ac:dyDescent="0.2">
      <c r="C24" t="s">
        <v>134</v>
      </c>
      <c r="E24" t="s">
        <v>135</v>
      </c>
    </row>
    <row r="26" spans="2:5" ht="15" customHeight="1" x14ac:dyDescent="0.2">
      <c r="B26" t="s">
        <v>124</v>
      </c>
    </row>
    <row r="27" spans="2:5" ht="15" customHeight="1" x14ac:dyDescent="0.2">
      <c r="C27" t="s">
        <v>125</v>
      </c>
      <c r="E27" t="s">
        <v>140</v>
      </c>
    </row>
    <row r="28" spans="2:5" ht="15" customHeight="1" x14ac:dyDescent="0.2">
      <c r="C28" t="s">
        <v>115</v>
      </c>
      <c r="E28" t="s">
        <v>141</v>
      </c>
    </row>
    <row r="29" spans="2:5" ht="15" customHeight="1" x14ac:dyDescent="0.2">
      <c r="C29" t="s">
        <v>128</v>
      </c>
      <c r="E29" t="s">
        <v>142</v>
      </c>
    </row>
    <row r="30" spans="2:5" ht="15" customHeight="1" x14ac:dyDescent="0.2">
      <c r="C30" t="s">
        <v>130</v>
      </c>
      <c r="E30" t="s">
        <v>139</v>
      </c>
    </row>
    <row r="31" spans="2:5" ht="15" customHeight="1" x14ac:dyDescent="0.2">
      <c r="C31" t="s">
        <v>132</v>
      </c>
      <c r="E31" t="s">
        <v>133</v>
      </c>
    </row>
    <row r="32" spans="2:5" ht="15" customHeight="1" x14ac:dyDescent="0.2">
      <c r="C32" t="s">
        <v>134</v>
      </c>
      <c r="E32" t="s">
        <v>135</v>
      </c>
    </row>
    <row r="34" spans="2:5" ht="15" customHeight="1" x14ac:dyDescent="0.2">
      <c r="B34" t="s">
        <v>143</v>
      </c>
    </row>
    <row r="35" spans="2:5" ht="15" customHeight="1" x14ac:dyDescent="0.2">
      <c r="C35" t="s">
        <v>144</v>
      </c>
      <c r="E35" t="s">
        <v>145</v>
      </c>
    </row>
    <row r="36" spans="2:5" ht="15" customHeight="1" x14ac:dyDescent="0.2">
      <c r="C36" t="s">
        <v>115</v>
      </c>
      <c r="E36" t="s">
        <v>146</v>
      </c>
    </row>
    <row r="37" spans="2:5" ht="15" customHeight="1" x14ac:dyDescent="0.2">
      <c r="C37" t="s">
        <v>147</v>
      </c>
      <c r="E37" t="s">
        <v>148</v>
      </c>
    </row>
    <row r="38" spans="2:5" ht="15" customHeight="1" x14ac:dyDescent="0.2">
      <c r="C38" t="s">
        <v>130</v>
      </c>
      <c r="E38" t="s">
        <v>149</v>
      </c>
    </row>
    <row r="39" spans="2:5" ht="12.75" x14ac:dyDescent="0.2">
      <c r="C39" t="s">
        <v>132</v>
      </c>
      <c r="E39" t="s">
        <v>133</v>
      </c>
    </row>
    <row r="40" spans="2:5" ht="12.75" x14ac:dyDescent="0.2">
      <c r="C40" t="s">
        <v>134</v>
      </c>
      <c r="E40" t="s">
        <v>135</v>
      </c>
    </row>
    <row r="41" spans="2:5" ht="12.75" x14ac:dyDescent="0.2"/>
    <row r="42" spans="2:5" ht="12.75" x14ac:dyDescent="0.2">
      <c r="B42" t="s">
        <v>143</v>
      </c>
    </row>
    <row r="43" spans="2:5" ht="12.75" x14ac:dyDescent="0.2">
      <c r="C43" t="s">
        <v>144</v>
      </c>
      <c r="E43" t="s">
        <v>150</v>
      </c>
    </row>
    <row r="44" spans="2:5" ht="12.75" x14ac:dyDescent="0.2">
      <c r="C44" t="s">
        <v>115</v>
      </c>
      <c r="E44" t="s">
        <v>151</v>
      </c>
    </row>
    <row r="45" spans="2:5" ht="12.75" x14ac:dyDescent="0.2">
      <c r="C45" t="s">
        <v>147</v>
      </c>
      <c r="E45" t="s">
        <v>152</v>
      </c>
    </row>
    <row r="46" spans="2:5" ht="12.75" x14ac:dyDescent="0.2">
      <c r="C46" t="s">
        <v>130</v>
      </c>
      <c r="E46" t="s">
        <v>139</v>
      </c>
    </row>
    <row r="47" spans="2:5" ht="12.75" x14ac:dyDescent="0.2">
      <c r="C47" t="s">
        <v>132</v>
      </c>
      <c r="E47" t="s">
        <v>133</v>
      </c>
    </row>
    <row r="48" spans="2:5" ht="12.75" x14ac:dyDescent="0.2">
      <c r="C48" t="s">
        <v>134</v>
      </c>
      <c r="E48" t="s">
        <v>135</v>
      </c>
    </row>
    <row r="49" spans="2:5" ht="12.75" x14ac:dyDescent="0.2"/>
    <row r="50" spans="2:5" ht="12.75" x14ac:dyDescent="0.2">
      <c r="B50" t="s">
        <v>143</v>
      </c>
    </row>
    <row r="51" spans="2:5" ht="12.75" x14ac:dyDescent="0.2">
      <c r="C51" t="s">
        <v>144</v>
      </c>
      <c r="E51" t="s">
        <v>153</v>
      </c>
    </row>
    <row r="52" spans="2:5" ht="12.75" x14ac:dyDescent="0.2">
      <c r="C52" t="s">
        <v>115</v>
      </c>
      <c r="E52" t="s">
        <v>154</v>
      </c>
    </row>
    <row r="53" spans="2:5" ht="12.75" x14ac:dyDescent="0.2">
      <c r="C53" t="s">
        <v>147</v>
      </c>
      <c r="E53" t="s">
        <v>155</v>
      </c>
    </row>
    <row r="54" spans="2:5" ht="12.75" x14ac:dyDescent="0.2">
      <c r="C54" t="s">
        <v>130</v>
      </c>
      <c r="E54" t="s">
        <v>156</v>
      </c>
    </row>
    <row r="55" spans="2:5" ht="12.75" x14ac:dyDescent="0.2">
      <c r="C55" t="s">
        <v>132</v>
      </c>
      <c r="E55" t="s">
        <v>133</v>
      </c>
    </row>
    <row r="56" spans="2:5" ht="12.75" x14ac:dyDescent="0.2">
      <c r="C56" t="s">
        <v>134</v>
      </c>
      <c r="E56" t="s">
        <v>135</v>
      </c>
    </row>
    <row r="57" spans="2:5" ht="12.75" x14ac:dyDescent="0.2"/>
    <row r="58" spans="2:5" ht="12.75" x14ac:dyDescent="0.2">
      <c r="B58" t="s">
        <v>157</v>
      </c>
    </row>
    <row r="59" spans="2:5" ht="12.75" x14ac:dyDescent="0.2">
      <c r="C59" t="s">
        <v>115</v>
      </c>
      <c r="E59" t="s">
        <v>158</v>
      </c>
    </row>
    <row r="60" spans="2:5" ht="12.75" x14ac:dyDescent="0.2">
      <c r="C60" t="s">
        <v>125</v>
      </c>
      <c r="E60" t="s">
        <v>126</v>
      </c>
    </row>
    <row r="61" spans="2:5" ht="12.75" x14ac:dyDescent="0.2">
      <c r="C61" t="s">
        <v>115</v>
      </c>
      <c r="E61" t="s">
        <v>127</v>
      </c>
    </row>
    <row r="62" spans="2:5" ht="12.75" x14ac:dyDescent="0.2">
      <c r="C62" t="s">
        <v>128</v>
      </c>
      <c r="E62" t="s">
        <v>129</v>
      </c>
    </row>
    <row r="63" spans="2:5" ht="12.75" x14ac:dyDescent="0.2">
      <c r="C63" t="s">
        <v>144</v>
      </c>
      <c r="E63" t="s">
        <v>145</v>
      </c>
    </row>
    <row r="64" spans="2:5" ht="12.75" x14ac:dyDescent="0.2">
      <c r="C64" t="s">
        <v>115</v>
      </c>
      <c r="E64" t="s">
        <v>146</v>
      </c>
    </row>
    <row r="65" spans="2:5" ht="12.75" x14ac:dyDescent="0.2">
      <c r="C65" t="s">
        <v>147</v>
      </c>
      <c r="E65" t="s">
        <v>148</v>
      </c>
    </row>
    <row r="66" spans="2:5" ht="12.75" x14ac:dyDescent="0.2">
      <c r="C66" t="s">
        <v>132</v>
      </c>
      <c r="E66" t="s">
        <v>133</v>
      </c>
    </row>
    <row r="67" spans="2:5" ht="12.75" x14ac:dyDescent="0.2">
      <c r="C67" t="s">
        <v>159</v>
      </c>
      <c r="E67" t="s">
        <v>160</v>
      </c>
    </row>
    <row r="68" spans="2:5" ht="12.75" x14ac:dyDescent="0.2"/>
    <row r="69" spans="2:5" ht="12.75" x14ac:dyDescent="0.2">
      <c r="B69" t="s">
        <v>157</v>
      </c>
    </row>
    <row r="70" spans="2:5" ht="12.75" x14ac:dyDescent="0.2">
      <c r="C70" t="s">
        <v>115</v>
      </c>
      <c r="E70" t="s">
        <v>161</v>
      </c>
    </row>
    <row r="71" spans="2:5" ht="12.75" x14ac:dyDescent="0.2">
      <c r="C71" t="s">
        <v>125</v>
      </c>
      <c r="E71" t="s">
        <v>136</v>
      </c>
    </row>
    <row r="72" spans="2:5" ht="12.75" x14ac:dyDescent="0.2">
      <c r="C72" t="s">
        <v>115</v>
      </c>
      <c r="E72" t="s">
        <v>137</v>
      </c>
    </row>
    <row r="73" spans="2:5" ht="12.75" x14ac:dyDescent="0.2">
      <c r="C73" t="s">
        <v>128</v>
      </c>
      <c r="E73" t="s">
        <v>138</v>
      </c>
    </row>
    <row r="74" spans="2:5" ht="12.75" x14ac:dyDescent="0.2">
      <c r="C74" t="s">
        <v>144</v>
      </c>
      <c r="E74" t="s">
        <v>150</v>
      </c>
    </row>
    <row r="75" spans="2:5" ht="12.75" x14ac:dyDescent="0.2">
      <c r="C75" t="s">
        <v>115</v>
      </c>
      <c r="E75" t="s">
        <v>151</v>
      </c>
    </row>
    <row r="76" spans="2:5" ht="12.75" x14ac:dyDescent="0.2">
      <c r="C76" t="s">
        <v>147</v>
      </c>
      <c r="E76" t="s">
        <v>152</v>
      </c>
    </row>
    <row r="77" spans="2:5" ht="12.75" x14ac:dyDescent="0.2">
      <c r="C77" t="s">
        <v>132</v>
      </c>
      <c r="E77" t="s">
        <v>133</v>
      </c>
    </row>
    <row r="78" spans="2:5" ht="12.75" x14ac:dyDescent="0.2">
      <c r="C78" t="s">
        <v>159</v>
      </c>
      <c r="E78" t="s">
        <v>160</v>
      </c>
    </row>
    <row r="79" spans="2:5" ht="12.75" x14ac:dyDescent="0.2"/>
    <row r="80" spans="2:5" ht="12.75" x14ac:dyDescent="0.2">
      <c r="B80" t="s">
        <v>157</v>
      </c>
    </row>
    <row r="81" spans="3:5" ht="12.75" x14ac:dyDescent="0.2">
      <c r="C81" t="s">
        <v>115</v>
      </c>
      <c r="E81" t="s">
        <v>162</v>
      </c>
    </row>
    <row r="82" spans="3:5" ht="12.75" x14ac:dyDescent="0.2">
      <c r="C82" t="s">
        <v>125</v>
      </c>
      <c r="E82" t="s">
        <v>140</v>
      </c>
    </row>
    <row r="83" spans="3:5" ht="12.75" x14ac:dyDescent="0.2">
      <c r="C83" t="s">
        <v>115</v>
      </c>
      <c r="E83" t="s">
        <v>141</v>
      </c>
    </row>
    <row r="84" spans="3:5" ht="12.75" x14ac:dyDescent="0.2">
      <c r="C84" t="s">
        <v>128</v>
      </c>
      <c r="E84" t="s">
        <v>142</v>
      </c>
    </row>
    <row r="85" spans="3:5" ht="12.75" x14ac:dyDescent="0.2">
      <c r="C85" t="s">
        <v>144</v>
      </c>
      <c r="E85" t="s">
        <v>153</v>
      </c>
    </row>
    <row r="86" spans="3:5" ht="12.75" x14ac:dyDescent="0.2">
      <c r="C86" t="s">
        <v>115</v>
      </c>
      <c r="E86" t="s">
        <v>154</v>
      </c>
    </row>
    <row r="87" spans="3:5" ht="12.75" x14ac:dyDescent="0.2">
      <c r="C87" t="s">
        <v>147</v>
      </c>
      <c r="E87" t="s">
        <v>155</v>
      </c>
    </row>
    <row r="88" spans="3:5" ht="12.75" x14ac:dyDescent="0.2">
      <c r="C88" t="s">
        <v>132</v>
      </c>
      <c r="E88" t="s">
        <v>133</v>
      </c>
    </row>
    <row r="89" spans="3:5" ht="12.75" x14ac:dyDescent="0.2">
      <c r="C89" t="s">
        <v>159</v>
      </c>
      <c r="E89" t="s">
        <v>160</v>
      </c>
    </row>
    <row r="90" spans="3:5" ht="12.75" x14ac:dyDescent="0.2"/>
    <row r="91" spans="3:5" ht="12.75" x14ac:dyDescent="0.2">
      <c r="C91" t="s">
        <v>163</v>
      </c>
      <c r="E91" t="s">
        <v>133</v>
      </c>
    </row>
    <row r="92" spans="3:5" ht="12.75" x14ac:dyDescent="0.2">
      <c r="C92" t="s">
        <v>164</v>
      </c>
      <c r="E92" t="s">
        <v>165</v>
      </c>
    </row>
    <row r="93" spans="3:5" ht="12.75" x14ac:dyDescent="0.2">
      <c r="C93" t="s">
        <v>166</v>
      </c>
      <c r="E93" t="s">
        <v>133</v>
      </c>
    </row>
    <row r="94" spans="3:5" ht="12.75" x14ac:dyDescent="0.2">
      <c r="C94" t="s">
        <v>167</v>
      </c>
      <c r="E94" t="s">
        <v>133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rotocol parameters"/>
  <dimension ref="A1:E19"/>
  <sheetViews>
    <sheetView workbookViewId="0"/>
  </sheetViews>
  <sheetFormatPr defaultColWidth="9.140625" defaultRowHeight="15" customHeight="1" x14ac:dyDescent="0.2"/>
  <cols>
    <col min="1" max="1" width="19.7109375" customWidth="1"/>
    <col min="2" max="2" width="29.140625" customWidth="1"/>
    <col min="4" max="4" width="2" customWidth="1"/>
    <col min="5" max="5" width="12" customWidth="1"/>
  </cols>
  <sheetData>
    <row r="1" spans="1:5" ht="15" customHeight="1" x14ac:dyDescent="0.2">
      <c r="A1" t="s">
        <v>168</v>
      </c>
    </row>
    <row r="3" spans="1:5" ht="15" customHeight="1" x14ac:dyDescent="0.2">
      <c r="B3" t="s">
        <v>169</v>
      </c>
      <c r="E3" t="s">
        <v>170</v>
      </c>
    </row>
    <row r="4" spans="1:5" ht="15" customHeight="1" x14ac:dyDescent="0.2">
      <c r="B4" t="s">
        <v>171</v>
      </c>
      <c r="E4" t="s">
        <v>165</v>
      </c>
    </row>
    <row r="5" spans="1:5" ht="15" customHeight="1" x14ac:dyDescent="0.2">
      <c r="B5" t="s">
        <v>172</v>
      </c>
      <c r="E5" t="s">
        <v>165</v>
      </c>
    </row>
    <row r="7" spans="1:5" ht="15" customHeight="1" x14ac:dyDescent="0.2">
      <c r="A7" t="s">
        <v>173</v>
      </c>
    </row>
    <row r="9" spans="1:5" ht="15" customHeight="1" x14ac:dyDescent="0.2">
      <c r="B9" t="s">
        <v>174</v>
      </c>
      <c r="E9" t="s">
        <v>175</v>
      </c>
    </row>
    <row r="10" spans="1:5" ht="15" customHeight="1" x14ac:dyDescent="0.2">
      <c r="B10" t="s">
        <v>176</v>
      </c>
      <c r="E10" t="s">
        <v>177</v>
      </c>
    </row>
    <row r="11" spans="1:5" ht="15" customHeight="1" x14ac:dyDescent="0.2">
      <c r="B11" t="s">
        <v>178</v>
      </c>
      <c r="E11" t="s">
        <v>179</v>
      </c>
    </row>
    <row r="12" spans="1:5" ht="15" customHeight="1" x14ac:dyDescent="0.2">
      <c r="B12" t="s">
        <v>180</v>
      </c>
      <c r="E12" t="s">
        <v>181</v>
      </c>
    </row>
    <row r="14" spans="1:5" ht="15" customHeight="1" x14ac:dyDescent="0.2">
      <c r="A14" t="s">
        <v>4</v>
      </c>
    </row>
    <row r="16" spans="1:5" ht="15" customHeight="1" x14ac:dyDescent="0.2">
      <c r="B16" t="s">
        <v>182</v>
      </c>
      <c r="E16" t="s">
        <v>148</v>
      </c>
    </row>
    <row r="17" spans="2:5" ht="15" customHeight="1" x14ac:dyDescent="0.2">
      <c r="B17" t="s">
        <v>183</v>
      </c>
      <c r="E17" t="s">
        <v>165</v>
      </c>
    </row>
    <row r="18" spans="2:5" ht="15" customHeight="1" x14ac:dyDescent="0.2">
      <c r="B18" t="s">
        <v>184</v>
      </c>
      <c r="E18" t="s">
        <v>185</v>
      </c>
    </row>
    <row r="19" spans="2:5" ht="15" customHeight="1" x14ac:dyDescent="0.2">
      <c r="B19" t="s">
        <v>186</v>
      </c>
      <c r="E19" t="s">
        <v>165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Run log"/>
  <dimension ref="A1:E13"/>
  <sheetViews>
    <sheetView workbookViewId="0"/>
  </sheetViews>
  <sheetFormatPr defaultColWidth="9.140625" defaultRowHeight="15" customHeight="1" x14ac:dyDescent="0.2"/>
  <cols>
    <col min="1" max="1" width="8.7109375" customWidth="1"/>
    <col min="2" max="2" width="26.42578125" customWidth="1"/>
    <col min="3" max="3" width="51.5703125" customWidth="1"/>
    <col min="4" max="4" width="11.85546875" customWidth="1"/>
  </cols>
  <sheetData>
    <row r="1" spans="1:5" ht="15" customHeight="1" x14ac:dyDescent="0.2">
      <c r="A1" t="s">
        <v>187</v>
      </c>
    </row>
    <row r="3" spans="1:5" ht="15" customHeight="1" x14ac:dyDescent="0.2">
      <c r="B3" s="8" t="s">
        <v>188</v>
      </c>
      <c r="C3" s="8" t="s">
        <v>189</v>
      </c>
      <c r="D3" s="8" t="s">
        <v>190</v>
      </c>
      <c r="E3" s="8"/>
    </row>
    <row r="4" spans="1:5" ht="15" customHeight="1" x14ac:dyDescent="0.2">
      <c r="B4" t="s">
        <v>2</v>
      </c>
      <c r="C4" t="s">
        <v>191</v>
      </c>
    </row>
    <row r="5" spans="1:5" ht="15" customHeight="1" x14ac:dyDescent="0.2">
      <c r="B5" t="s">
        <v>192</v>
      </c>
      <c r="C5" t="s">
        <v>193</v>
      </c>
      <c r="D5" t="s">
        <v>194</v>
      </c>
    </row>
    <row r="6" spans="1:5" ht="15" customHeight="1" x14ac:dyDescent="0.2">
      <c r="B6" t="s">
        <v>192</v>
      </c>
      <c r="C6" t="s">
        <v>195</v>
      </c>
    </row>
    <row r="7" spans="1:5" ht="15" customHeight="1" x14ac:dyDescent="0.2">
      <c r="B7" t="s">
        <v>196</v>
      </c>
      <c r="C7" t="s">
        <v>197</v>
      </c>
    </row>
    <row r="8" spans="1:5" ht="15" customHeight="1" x14ac:dyDescent="0.2">
      <c r="B8" t="s">
        <v>196</v>
      </c>
      <c r="C8" t="s">
        <v>198</v>
      </c>
    </row>
    <row r="9" spans="1:5" ht="15" customHeight="1" x14ac:dyDescent="0.2">
      <c r="B9" t="s">
        <v>199</v>
      </c>
      <c r="C9" t="s">
        <v>200</v>
      </c>
    </row>
    <row r="10" spans="1:5" ht="15" customHeight="1" x14ac:dyDescent="0.2">
      <c r="B10" t="s">
        <v>199</v>
      </c>
      <c r="C10" t="s">
        <v>193</v>
      </c>
      <c r="D10" t="s">
        <v>194</v>
      </c>
    </row>
    <row r="11" spans="1:5" ht="15" customHeight="1" x14ac:dyDescent="0.2">
      <c r="B11" t="s">
        <v>201</v>
      </c>
      <c r="C11" t="s">
        <v>193</v>
      </c>
      <c r="D11" t="s">
        <v>194</v>
      </c>
    </row>
    <row r="12" spans="1:5" ht="15" customHeight="1" x14ac:dyDescent="0.2">
      <c r="B12" t="s">
        <v>202</v>
      </c>
      <c r="C12" t="s">
        <v>203</v>
      </c>
    </row>
    <row r="13" spans="1:5" ht="15" customHeight="1" x14ac:dyDescent="0.2">
      <c r="A13" t="s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ayout definitions"/>
  <dimension ref="A1:M33"/>
  <sheetViews>
    <sheetView workbookViewId="0">
      <selection activeCell="K20" sqref="K20:K22"/>
    </sheetView>
  </sheetViews>
  <sheetFormatPr defaultColWidth="9.140625" defaultRowHeight="15" customHeight="1" x14ac:dyDescent="0.2"/>
  <cols>
    <col min="2" max="3" width="17.85546875" customWidth="1"/>
  </cols>
  <sheetData>
    <row r="1" spans="1:13" ht="15" customHeight="1" x14ac:dyDescent="0.2">
      <c r="A1" t="s">
        <v>115</v>
      </c>
      <c r="B1" t="s">
        <v>6</v>
      </c>
    </row>
    <row r="2" spans="1:13" ht="15" customHeight="1" x14ac:dyDescent="0.2">
      <c r="A2" t="s">
        <v>204</v>
      </c>
      <c r="B2" t="s">
        <v>205</v>
      </c>
    </row>
    <row r="4" spans="1:13" ht="15" customHeight="1" x14ac:dyDescent="0.2">
      <c r="B4" s="9">
        <v>1</v>
      </c>
      <c r="C4" s="9">
        <v>2</v>
      </c>
      <c r="D4" s="9">
        <v>3</v>
      </c>
      <c r="E4" s="9">
        <v>4</v>
      </c>
      <c r="F4" s="9">
        <v>5</v>
      </c>
      <c r="G4" s="9">
        <v>6</v>
      </c>
      <c r="H4" s="9">
        <v>7</v>
      </c>
      <c r="I4" s="9">
        <v>8</v>
      </c>
      <c r="J4" s="9">
        <v>9</v>
      </c>
      <c r="K4" s="9">
        <v>10</v>
      </c>
      <c r="L4" s="9">
        <v>11</v>
      </c>
      <c r="M4" s="9">
        <v>12</v>
      </c>
    </row>
    <row r="5" spans="1:13" ht="15" customHeight="1" x14ac:dyDescent="0.2">
      <c r="A5" s="45" t="s">
        <v>8</v>
      </c>
      <c r="B5" s="10" t="s">
        <v>17</v>
      </c>
      <c r="C5" s="10" t="s">
        <v>17</v>
      </c>
      <c r="D5" s="11" t="s">
        <v>18</v>
      </c>
      <c r="E5" s="11" t="s">
        <v>19</v>
      </c>
      <c r="F5" s="11" t="s">
        <v>20</v>
      </c>
      <c r="G5" s="11" t="s">
        <v>21</v>
      </c>
      <c r="H5" s="46"/>
      <c r="I5" s="46"/>
      <c r="J5" s="46"/>
      <c r="K5" s="46"/>
      <c r="L5" s="46"/>
      <c r="M5" s="46"/>
    </row>
    <row r="6" spans="1:13" ht="15" customHeight="1" x14ac:dyDescent="0.2">
      <c r="A6" s="46"/>
      <c r="B6" s="12" t="s">
        <v>206</v>
      </c>
      <c r="C6" s="12" t="s">
        <v>206</v>
      </c>
      <c r="D6" s="13" t="s">
        <v>206</v>
      </c>
      <c r="E6" s="13" t="s">
        <v>206</v>
      </c>
      <c r="F6" s="13" t="s">
        <v>206</v>
      </c>
      <c r="G6" s="13" t="s">
        <v>206</v>
      </c>
      <c r="H6" s="46"/>
      <c r="I6" s="46"/>
      <c r="J6" s="46"/>
      <c r="K6" s="46"/>
      <c r="L6" s="46"/>
      <c r="M6" s="46"/>
    </row>
    <row r="7" spans="1:13" ht="15" customHeight="1" x14ac:dyDescent="0.2">
      <c r="A7" s="46"/>
      <c r="B7" s="14" t="s">
        <v>287</v>
      </c>
      <c r="C7" s="14" t="s">
        <v>287</v>
      </c>
      <c r="D7" s="15" t="s">
        <v>207</v>
      </c>
      <c r="E7" s="15" t="s">
        <v>207</v>
      </c>
      <c r="F7" s="15" t="s">
        <v>207</v>
      </c>
      <c r="G7" s="15" t="s">
        <v>207</v>
      </c>
      <c r="H7" s="46"/>
      <c r="I7" s="46"/>
      <c r="J7" s="46"/>
      <c r="K7" s="46"/>
      <c r="L7" s="46"/>
      <c r="M7" s="46"/>
    </row>
    <row r="8" spans="1:13" ht="15" customHeight="1" x14ac:dyDescent="0.2">
      <c r="A8" s="45" t="s">
        <v>9</v>
      </c>
      <c r="B8" s="10" t="s">
        <v>22</v>
      </c>
      <c r="C8" s="10" t="s">
        <v>22</v>
      </c>
      <c r="D8" s="11" t="s">
        <v>23</v>
      </c>
      <c r="E8" s="11" t="s">
        <v>24</v>
      </c>
      <c r="F8" s="11" t="s">
        <v>25</v>
      </c>
      <c r="G8" s="11" t="s">
        <v>26</v>
      </c>
      <c r="H8" s="46"/>
      <c r="I8" s="46"/>
      <c r="J8" s="46"/>
      <c r="K8" s="46"/>
      <c r="L8" s="46"/>
      <c r="M8" s="46"/>
    </row>
    <row r="9" spans="1:13" ht="15" customHeight="1" x14ac:dyDescent="0.2">
      <c r="A9" s="46"/>
      <c r="B9" s="12" t="s">
        <v>206</v>
      </c>
      <c r="C9" s="12" t="s">
        <v>206</v>
      </c>
      <c r="D9" s="13" t="s">
        <v>206</v>
      </c>
      <c r="E9" s="13" t="s">
        <v>206</v>
      </c>
      <c r="F9" s="13" t="s">
        <v>206</v>
      </c>
      <c r="G9" s="13" t="s">
        <v>206</v>
      </c>
      <c r="H9" s="46"/>
      <c r="I9" s="46"/>
      <c r="J9" s="46"/>
      <c r="K9" s="46"/>
      <c r="L9" s="46"/>
      <c r="M9" s="46"/>
    </row>
    <row r="10" spans="1:13" ht="15" customHeight="1" x14ac:dyDescent="0.2">
      <c r="A10" s="46"/>
      <c r="B10" s="14" t="s">
        <v>288</v>
      </c>
      <c r="C10" s="14" t="s">
        <v>288</v>
      </c>
      <c r="D10" s="15" t="s">
        <v>207</v>
      </c>
      <c r="E10" s="15" t="s">
        <v>207</v>
      </c>
      <c r="F10" s="15" t="s">
        <v>207</v>
      </c>
      <c r="G10" s="15" t="s">
        <v>207</v>
      </c>
      <c r="H10" s="46"/>
      <c r="I10" s="46"/>
      <c r="J10" s="46"/>
      <c r="K10" s="46"/>
      <c r="L10" s="46"/>
      <c r="M10" s="46"/>
    </row>
    <row r="11" spans="1:13" ht="15" customHeight="1" x14ac:dyDescent="0.2">
      <c r="A11" s="45" t="s">
        <v>10</v>
      </c>
      <c r="B11" s="10" t="s">
        <v>27</v>
      </c>
      <c r="C11" s="10" t="s">
        <v>27</v>
      </c>
      <c r="D11" s="11" t="s">
        <v>28</v>
      </c>
      <c r="E11" s="11" t="s">
        <v>29</v>
      </c>
      <c r="F11" s="11" t="s">
        <v>30</v>
      </c>
      <c r="G11" s="11" t="s">
        <v>31</v>
      </c>
      <c r="H11" s="46"/>
      <c r="I11" s="46"/>
      <c r="J11" s="46"/>
      <c r="K11" s="46"/>
      <c r="L11" s="46"/>
      <c r="M11" s="46"/>
    </row>
    <row r="12" spans="1:13" ht="15" customHeight="1" x14ac:dyDescent="0.2">
      <c r="A12" s="46"/>
      <c r="B12" s="12" t="s">
        <v>206</v>
      </c>
      <c r="C12" s="12" t="s">
        <v>206</v>
      </c>
      <c r="D12" s="13" t="s">
        <v>206</v>
      </c>
      <c r="E12" s="13" t="s">
        <v>206</v>
      </c>
      <c r="F12" s="13" t="s">
        <v>206</v>
      </c>
      <c r="G12" s="13" t="s">
        <v>206</v>
      </c>
      <c r="H12" s="46"/>
      <c r="I12" s="46"/>
      <c r="J12" s="46"/>
      <c r="K12" s="46"/>
      <c r="L12" s="46"/>
      <c r="M12" s="46"/>
    </row>
    <row r="13" spans="1:13" ht="15" customHeight="1" x14ac:dyDescent="0.2">
      <c r="A13" s="46"/>
      <c r="B13" s="14" t="s">
        <v>289</v>
      </c>
      <c r="C13" s="14" t="s">
        <v>289</v>
      </c>
      <c r="D13" s="15" t="s">
        <v>207</v>
      </c>
      <c r="E13" s="15" t="s">
        <v>207</v>
      </c>
      <c r="F13" s="15" t="s">
        <v>207</v>
      </c>
      <c r="G13" s="15" t="s">
        <v>207</v>
      </c>
      <c r="H13" s="46"/>
      <c r="I13" s="46"/>
      <c r="J13" s="46"/>
      <c r="K13" s="46"/>
      <c r="L13" s="46"/>
      <c r="M13" s="46"/>
    </row>
    <row r="14" spans="1:13" ht="15" customHeight="1" x14ac:dyDescent="0.2">
      <c r="A14" s="45" t="s">
        <v>11</v>
      </c>
      <c r="B14" s="10" t="s">
        <v>32</v>
      </c>
      <c r="C14" s="10" t="s">
        <v>32</v>
      </c>
      <c r="D14" s="11" t="s">
        <v>33</v>
      </c>
      <c r="E14" s="11" t="s">
        <v>34</v>
      </c>
      <c r="F14" s="11" t="s">
        <v>35</v>
      </c>
      <c r="G14" s="11" t="s">
        <v>36</v>
      </c>
      <c r="H14" s="46"/>
      <c r="I14" s="46"/>
      <c r="J14" s="46"/>
      <c r="K14" s="46"/>
      <c r="L14" s="46"/>
      <c r="M14" s="46"/>
    </row>
    <row r="15" spans="1:13" ht="15" customHeight="1" x14ac:dyDescent="0.2">
      <c r="A15" s="46"/>
      <c r="B15" s="12" t="s">
        <v>206</v>
      </c>
      <c r="C15" s="12" t="s">
        <v>206</v>
      </c>
      <c r="D15" s="13" t="s">
        <v>206</v>
      </c>
      <c r="E15" s="13" t="s">
        <v>206</v>
      </c>
      <c r="F15" s="13" t="s">
        <v>206</v>
      </c>
      <c r="G15" s="13" t="s">
        <v>206</v>
      </c>
      <c r="H15" s="46"/>
      <c r="I15" s="46"/>
      <c r="J15" s="46"/>
      <c r="K15" s="46"/>
      <c r="L15" s="46"/>
      <c r="M15" s="46"/>
    </row>
    <row r="16" spans="1:13" ht="15" customHeight="1" x14ac:dyDescent="0.2">
      <c r="A16" s="46"/>
      <c r="B16" s="14" t="s">
        <v>290</v>
      </c>
      <c r="C16" s="14" t="s">
        <v>290</v>
      </c>
      <c r="D16" s="15" t="s">
        <v>207</v>
      </c>
      <c r="E16" s="15" t="s">
        <v>207</v>
      </c>
      <c r="F16" s="15" t="s">
        <v>207</v>
      </c>
      <c r="G16" s="15" t="s">
        <v>207</v>
      </c>
      <c r="H16" s="46"/>
      <c r="I16" s="46"/>
      <c r="J16" s="46"/>
      <c r="K16" s="46"/>
      <c r="L16" s="46"/>
      <c r="M16" s="46"/>
    </row>
    <row r="17" spans="1:13" ht="15" customHeight="1" x14ac:dyDescent="0.2">
      <c r="A17" s="45" t="s">
        <v>12</v>
      </c>
      <c r="B17" s="10" t="s">
        <v>37</v>
      </c>
      <c r="C17" s="10" t="s">
        <v>37</v>
      </c>
      <c r="D17" s="11" t="s">
        <v>38</v>
      </c>
      <c r="E17" s="11" t="s">
        <v>39</v>
      </c>
      <c r="F17" s="11" t="s">
        <v>40</v>
      </c>
      <c r="G17" s="11" t="s">
        <v>41</v>
      </c>
      <c r="H17" s="46"/>
      <c r="I17" s="46"/>
      <c r="J17" s="46"/>
      <c r="K17" s="46"/>
      <c r="L17" s="46"/>
      <c r="M17" s="46"/>
    </row>
    <row r="18" spans="1:13" ht="15" customHeight="1" x14ac:dyDescent="0.2">
      <c r="A18" s="46"/>
      <c r="B18" s="12" t="s">
        <v>206</v>
      </c>
      <c r="C18" s="12" t="s">
        <v>206</v>
      </c>
      <c r="D18" s="13" t="s">
        <v>206</v>
      </c>
      <c r="E18" s="13" t="s">
        <v>206</v>
      </c>
      <c r="F18" s="13" t="s">
        <v>206</v>
      </c>
      <c r="G18" s="13" t="s">
        <v>206</v>
      </c>
      <c r="H18" s="46"/>
      <c r="I18" s="46"/>
      <c r="J18" s="46"/>
      <c r="K18" s="46"/>
      <c r="L18" s="46"/>
      <c r="M18" s="46"/>
    </row>
    <row r="19" spans="1:13" ht="15" customHeight="1" x14ac:dyDescent="0.2">
      <c r="A19" s="46"/>
      <c r="B19" s="14" t="s">
        <v>291</v>
      </c>
      <c r="C19" s="14" t="s">
        <v>291</v>
      </c>
      <c r="D19" s="15" t="s">
        <v>207</v>
      </c>
      <c r="E19" s="15" t="s">
        <v>207</v>
      </c>
      <c r="F19" s="15" t="s">
        <v>207</v>
      </c>
      <c r="G19" s="15" t="s">
        <v>207</v>
      </c>
      <c r="H19" s="46"/>
      <c r="I19" s="46"/>
      <c r="J19" s="46"/>
      <c r="K19" s="46"/>
      <c r="L19" s="46"/>
      <c r="M19" s="46"/>
    </row>
    <row r="20" spans="1:13" ht="15" customHeight="1" x14ac:dyDescent="0.2">
      <c r="A20" s="45" t="s">
        <v>13</v>
      </c>
      <c r="B20" s="10" t="s">
        <v>42</v>
      </c>
      <c r="C20" s="10" t="s">
        <v>42</v>
      </c>
      <c r="D20" s="11" t="s">
        <v>43</v>
      </c>
      <c r="E20" s="11" t="s">
        <v>44</v>
      </c>
      <c r="F20" s="11" t="s">
        <v>45</v>
      </c>
      <c r="G20" s="11" t="s">
        <v>46</v>
      </c>
      <c r="H20" s="46"/>
      <c r="I20" s="46"/>
      <c r="J20" s="46"/>
      <c r="K20" s="46"/>
      <c r="L20" s="46"/>
      <c r="M20" s="46"/>
    </row>
    <row r="21" spans="1:13" ht="15" customHeight="1" x14ac:dyDescent="0.2">
      <c r="A21" s="46"/>
      <c r="B21" s="12" t="s">
        <v>206</v>
      </c>
      <c r="C21" s="12" t="s">
        <v>206</v>
      </c>
      <c r="D21" s="13" t="s">
        <v>206</v>
      </c>
      <c r="E21" s="13" t="s">
        <v>206</v>
      </c>
      <c r="F21" s="13" t="s">
        <v>206</v>
      </c>
      <c r="G21" s="13" t="s">
        <v>206</v>
      </c>
      <c r="H21" s="46"/>
      <c r="I21" s="46"/>
      <c r="J21" s="46"/>
      <c r="K21" s="46"/>
      <c r="L21" s="46"/>
      <c r="M21" s="46"/>
    </row>
    <row r="22" spans="1:13" ht="15" customHeight="1" x14ac:dyDescent="0.2">
      <c r="A22" s="46"/>
      <c r="B22" s="14" t="s">
        <v>292</v>
      </c>
      <c r="C22" s="14" t="s">
        <v>292</v>
      </c>
      <c r="D22" s="15" t="s">
        <v>207</v>
      </c>
      <c r="E22" s="15" t="s">
        <v>207</v>
      </c>
      <c r="F22" s="15" t="s">
        <v>207</v>
      </c>
      <c r="G22" s="15" t="s">
        <v>207</v>
      </c>
      <c r="H22" s="46"/>
      <c r="I22" s="46"/>
      <c r="J22" s="46"/>
      <c r="K22" s="46"/>
      <c r="L22" s="46"/>
      <c r="M22" s="46"/>
    </row>
    <row r="23" spans="1:13" ht="15" customHeight="1" x14ac:dyDescent="0.2">
      <c r="A23" s="45" t="s">
        <v>14</v>
      </c>
      <c r="B23" s="10" t="s">
        <v>47</v>
      </c>
      <c r="C23" s="10" t="s">
        <v>47</v>
      </c>
      <c r="D23" s="11" t="s">
        <v>48</v>
      </c>
      <c r="E23" s="11" t="s">
        <v>49</v>
      </c>
      <c r="F23" s="11" t="s">
        <v>50</v>
      </c>
      <c r="G23" s="11" t="s">
        <v>51</v>
      </c>
      <c r="H23" s="46"/>
      <c r="I23" s="46"/>
      <c r="J23" s="46"/>
      <c r="K23" s="46"/>
      <c r="L23" s="46"/>
      <c r="M23" s="46"/>
    </row>
    <row r="24" spans="1:13" ht="15" customHeight="1" x14ac:dyDescent="0.2">
      <c r="A24" s="46"/>
      <c r="B24" s="12" t="s">
        <v>206</v>
      </c>
      <c r="C24" s="12" t="s">
        <v>206</v>
      </c>
      <c r="D24" s="13" t="s">
        <v>206</v>
      </c>
      <c r="E24" s="13" t="s">
        <v>206</v>
      </c>
      <c r="F24" s="13" t="s">
        <v>206</v>
      </c>
      <c r="G24" s="13" t="s">
        <v>206</v>
      </c>
      <c r="H24" s="46"/>
      <c r="I24" s="46"/>
      <c r="J24" s="46"/>
      <c r="K24" s="46"/>
      <c r="L24" s="46"/>
      <c r="M24" s="46"/>
    </row>
    <row r="25" spans="1:13" ht="15" customHeight="1" x14ac:dyDescent="0.2">
      <c r="A25" s="46"/>
      <c r="B25" s="14" t="s">
        <v>293</v>
      </c>
      <c r="C25" s="14" t="s">
        <v>293</v>
      </c>
      <c r="D25" s="15" t="s">
        <v>207</v>
      </c>
      <c r="E25" s="15" t="s">
        <v>207</v>
      </c>
      <c r="F25" s="15" t="s">
        <v>207</v>
      </c>
      <c r="G25" s="15" t="s">
        <v>207</v>
      </c>
      <c r="H25" s="46"/>
      <c r="I25" s="46"/>
      <c r="J25" s="46"/>
      <c r="K25" s="46"/>
      <c r="L25" s="46"/>
      <c r="M25" s="46"/>
    </row>
    <row r="26" spans="1:13" ht="15" customHeight="1" x14ac:dyDescent="0.2">
      <c r="A26" s="45" t="s">
        <v>15</v>
      </c>
      <c r="B26" s="16" t="s">
        <v>52</v>
      </c>
      <c r="C26" s="11" t="s">
        <v>53</v>
      </c>
      <c r="D26" s="11" t="s">
        <v>54</v>
      </c>
      <c r="E26" s="11" t="s">
        <v>55</v>
      </c>
      <c r="F26" s="11" t="s">
        <v>56</v>
      </c>
      <c r="G26" s="11" t="s">
        <v>57</v>
      </c>
      <c r="H26" s="46"/>
      <c r="I26" s="46"/>
      <c r="J26" s="46"/>
      <c r="K26" s="46"/>
      <c r="L26" s="46"/>
      <c r="M26" s="46"/>
    </row>
    <row r="27" spans="1:13" ht="15" customHeight="1" x14ac:dyDescent="0.2">
      <c r="A27" s="46"/>
      <c r="B27" s="17" t="s">
        <v>206</v>
      </c>
      <c r="C27" s="13" t="s">
        <v>206</v>
      </c>
      <c r="D27" s="13" t="s">
        <v>206</v>
      </c>
      <c r="E27" s="13" t="s">
        <v>206</v>
      </c>
      <c r="F27" s="13" t="s">
        <v>206</v>
      </c>
      <c r="G27" s="13" t="s">
        <v>206</v>
      </c>
      <c r="H27" s="46"/>
      <c r="I27" s="46"/>
      <c r="J27" s="46"/>
      <c r="K27" s="46"/>
      <c r="L27" s="46"/>
      <c r="M27" s="46"/>
    </row>
    <row r="28" spans="1:13" ht="15" customHeight="1" x14ac:dyDescent="0.2">
      <c r="A28" s="46"/>
      <c r="B28" s="18"/>
      <c r="C28" s="15" t="s">
        <v>207</v>
      </c>
      <c r="D28" s="15" t="s">
        <v>207</v>
      </c>
      <c r="E28" s="15" t="s">
        <v>207</v>
      </c>
      <c r="F28" s="15" t="s">
        <v>207</v>
      </c>
      <c r="G28" s="15" t="s">
        <v>207</v>
      </c>
      <c r="H28" s="46"/>
      <c r="I28" s="46"/>
      <c r="J28" s="46"/>
      <c r="K28" s="46"/>
      <c r="L28" s="46"/>
      <c r="M28" s="46"/>
    </row>
    <row r="33" spans="1:1" ht="15" customHeight="1" x14ac:dyDescent="0.2">
      <c r="A33" t="s">
        <v>3</v>
      </c>
    </row>
  </sheetData>
  <mergeCells count="56">
    <mergeCell ref="M20:M22"/>
    <mergeCell ref="M23:M25"/>
    <mergeCell ref="M26:M28"/>
    <mergeCell ref="M5:M7"/>
    <mergeCell ref="M8:M10"/>
    <mergeCell ref="M11:M13"/>
    <mergeCell ref="M14:M16"/>
    <mergeCell ref="M17:M19"/>
    <mergeCell ref="K20:K22"/>
    <mergeCell ref="K23:K25"/>
    <mergeCell ref="K26:K28"/>
    <mergeCell ref="L5:L7"/>
    <mergeCell ref="L8:L10"/>
    <mergeCell ref="L11:L13"/>
    <mergeCell ref="L14:L16"/>
    <mergeCell ref="L17:L19"/>
    <mergeCell ref="L20:L22"/>
    <mergeCell ref="L23:L25"/>
    <mergeCell ref="L26:L28"/>
    <mergeCell ref="K5:K7"/>
    <mergeCell ref="K8:K10"/>
    <mergeCell ref="K11:K13"/>
    <mergeCell ref="K14:K16"/>
    <mergeCell ref="K17:K19"/>
    <mergeCell ref="I20:I22"/>
    <mergeCell ref="I23:I25"/>
    <mergeCell ref="I26:I28"/>
    <mergeCell ref="J5:J7"/>
    <mergeCell ref="J8:J10"/>
    <mergeCell ref="J11:J13"/>
    <mergeCell ref="J14:J16"/>
    <mergeCell ref="J17:J19"/>
    <mergeCell ref="J20:J22"/>
    <mergeCell ref="J23:J25"/>
    <mergeCell ref="J26:J28"/>
    <mergeCell ref="I5:I7"/>
    <mergeCell ref="I8:I10"/>
    <mergeCell ref="I11:I13"/>
    <mergeCell ref="I14:I16"/>
    <mergeCell ref="I17:I19"/>
    <mergeCell ref="A20:A22"/>
    <mergeCell ref="A23:A25"/>
    <mergeCell ref="A26:A28"/>
    <mergeCell ref="H5:H7"/>
    <mergeCell ref="H8:H10"/>
    <mergeCell ref="H11:H13"/>
    <mergeCell ref="H14:H16"/>
    <mergeCell ref="H17:H19"/>
    <mergeCell ref="H20:H22"/>
    <mergeCell ref="H23:H25"/>
    <mergeCell ref="H26:H28"/>
    <mergeCell ref="A5:A7"/>
    <mergeCell ref="A8:A10"/>
    <mergeCell ref="A11:A13"/>
    <mergeCell ref="A14:A16"/>
    <mergeCell ref="A17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Absorbance 1_01</vt:lpstr>
      <vt:lpstr>Standard Curve 1_02</vt:lpstr>
      <vt:lpstr>Blank Subtraction 1_03</vt:lpstr>
      <vt:lpstr>08_28_26_First trial</vt:lpstr>
      <vt:lpstr>09_02_26_Second trial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Afsar, Md Nure Alam</cp:lastModifiedBy>
  <dcterms:created xsi:type="dcterms:W3CDTF">2026-08-31T14:59:46Z</dcterms:created>
  <dcterms:modified xsi:type="dcterms:W3CDTF">2026-10-07T19:31:01Z</dcterms:modified>
</cp:coreProperties>
</file>