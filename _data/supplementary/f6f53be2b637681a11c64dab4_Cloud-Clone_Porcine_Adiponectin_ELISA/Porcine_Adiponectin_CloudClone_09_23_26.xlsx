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https://mstate-my.sharepoint.com/personal/ma2020_msstate_edu/Documents/Documents 1/ELISA Project/Submit to the equine registry/Adiponectin/"/>
    </mc:Choice>
  </mc:AlternateContent>
  <xr:revisionPtr revIDLastSave="72" documentId="11_9D1BAF60E497F01AF299FB7760F3EBB3D4FB68FA" xr6:coauthVersionLast="47" xr6:coauthVersionMax="47" xr10:uidLastSave="{C45FF150-BC18-42DB-827C-4FF8D47374A6}"/>
  <bookViews>
    <workbookView xWindow="-120" yWindow="-120" windowWidth="29040" windowHeight="15720" activeTab="3" xr2:uid="{00000000-000D-0000-FFFF-FFFF00000000}"/>
  </bookViews>
  <sheets>
    <sheet name="Absorbance 1_01" sheetId="1" r:id="rId1"/>
    <sheet name="Standard Curve 1_02" sheetId="2" r:id="rId2"/>
    <sheet name="Blank Subtraction 1_03" sheetId="3" r:id="rId3"/>
    <sheet name="Standard Curve 2_04" sheetId="4" r:id="rId4"/>
    <sheet name="General information" sheetId="5" r:id="rId5"/>
    <sheet name="Session information" sheetId="6" r:id="rId6"/>
    <sheet name="Instrument information" sheetId="7" r:id="rId7"/>
    <sheet name="Protocol parameters" sheetId="8" r:id="rId8"/>
    <sheet name="Run log" sheetId="9" r:id="rId9"/>
    <sheet name="Layout definitions" sheetId="10" r:id="rId10"/>
  </sheet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5" i="4" l="1"/>
  <c r="K76" i="4"/>
  <c r="K77" i="4"/>
  <c r="K78" i="4"/>
  <c r="K74" i="4"/>
  <c r="K92" i="4"/>
  <c r="K93" i="4"/>
  <c r="K94" i="4"/>
  <c r="K95" i="4"/>
  <c r="K91" i="4"/>
  <c r="L101" i="4"/>
  <c r="L100" i="4"/>
  <c r="L99" i="4"/>
  <c r="L98" i="4"/>
  <c r="L84" i="4"/>
  <c r="L83" i="4"/>
  <c r="L82" i="4"/>
  <c r="L81" i="4"/>
</calcChain>
</file>

<file path=xl/sharedStrings.xml><?xml version="1.0" encoding="utf-8"?>
<sst xmlns="http://schemas.openxmlformats.org/spreadsheetml/2006/main" count="899" uniqueCount="250">
  <si>
    <t>Measurement results</t>
  </si>
  <si>
    <t>Porcine Adiponectin_CloudClone_09_23_26_first trial.skax</t>
  </si>
  <si>
    <t>2026-09-23T16:17:21-05:00</t>
  </si>
  <si>
    <t xml:space="preserve"> </t>
  </si>
  <si>
    <t>Absorbance 1</t>
  </si>
  <si>
    <t>Wavelength: 450 nm</t>
  </si>
  <si>
    <t>Plate 1</t>
  </si>
  <si>
    <t>Abs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</si>
  <si>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</si>
  <si>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</si>
  <si>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</si>
  <si>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</si>
  <si>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</si>
  <si>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</si>
  <si>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</si>
  <si>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</si>
  <si>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</si>
  <si>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Std70001</t>
  </si>
  <si>
    <t>Un0002</t>
  </si>
  <si>
    <t>Un0003</t>
  </si>
  <si>
    <t>Std60001</t>
  </si>
  <si>
    <t>Un0004</t>
  </si>
  <si>
    <t>Un0005</t>
  </si>
  <si>
    <t>Std50001</t>
  </si>
  <si>
    <t>Un0006</t>
  </si>
  <si>
    <t>Un0007</t>
  </si>
  <si>
    <t>Std40001</t>
  </si>
  <si>
    <t>Un0008</t>
  </si>
  <si>
    <t>Un0009</t>
  </si>
  <si>
    <t>Std30001</t>
  </si>
  <si>
    <t>Un0010</t>
  </si>
  <si>
    <t>Un0011</t>
  </si>
  <si>
    <t>Std20001</t>
  </si>
  <si>
    <t>Un0012</t>
  </si>
  <si>
    <t>Un0013</t>
  </si>
  <si>
    <t>Std10001</t>
  </si>
  <si>
    <t>Un0014</t>
  </si>
  <si>
    <t>Un0015</t>
  </si>
  <si>
    <t>Un0018</t>
  </si>
  <si>
    <t>Blank1</t>
  </si>
  <si>
    <t>Un0001</t>
  </si>
  <si>
    <t>Un0017</t>
  </si>
  <si>
    <t>Un0016</t>
  </si>
  <si>
    <t>Autoloading range A1 - M28</t>
  </si>
  <si>
    <t>Standard Curve 1</t>
  </si>
  <si>
    <t>Fit type: 4PL</t>
  </si>
  <si>
    <t>Concentration transformation: Logarithmic</t>
  </si>
  <si>
    <t>Signal transformation: Linear</t>
  </si>
  <si>
    <t>Saved curve: No</t>
  </si>
  <si>
    <t>Sample group: Group 1</t>
  </si>
  <si>
    <t>y = 2.91515 + ( (0.166215 - 2.91515) / ( 1 + (x/87.3142)^0.760483) )</t>
  </si>
  <si>
    <t>y = d + ( (a - d) / ( 1 + (x/c)^b) )</t>
  </si>
  <si>
    <t>Where:</t>
  </si>
  <si>
    <t>a =</t>
  </si>
  <si>
    <t>b =</t>
  </si>
  <si>
    <t>c =</t>
  </si>
  <si>
    <t>d =</t>
  </si>
  <si>
    <t>R²: 0.999</t>
  </si>
  <si>
    <t>Well</t>
  </si>
  <si>
    <t>Conc. [ng/mL]</t>
  </si>
  <si>
    <t>Original signal</t>
  </si>
  <si>
    <t>CV%</t>
  </si>
  <si>
    <t>Fitted signal</t>
  </si>
  <si>
    <t>Residual</t>
  </si>
  <si>
    <t>Average</t>
  </si>
  <si>
    <t>G07</t>
  </si>
  <si>
    <t>G08</t>
  </si>
  <si>
    <t>F07</t>
  </si>
  <si>
    <t>F08</t>
  </si>
  <si>
    <t>E07</t>
  </si>
  <si>
    <t>E08</t>
  </si>
  <si>
    <t>D07</t>
  </si>
  <si>
    <t>D08</t>
  </si>
  <si>
    <t>C07</t>
  </si>
  <si>
    <t>C08</t>
  </si>
  <si>
    <t>B07</t>
  </si>
  <si>
    <t>B08</t>
  </si>
  <si>
    <t>A07</t>
  </si>
  <si>
    <t>A08</t>
  </si>
  <si>
    <t>Signal</t>
  </si>
  <si>
    <t xml:space="preserve"> &lt; Min</t>
  </si>
  <si>
    <t>Autoloading range A1 - M101</t>
  </si>
  <si>
    <t>Blank Subtraction 1</t>
  </si>
  <si>
    <t>Blank subtracted</t>
  </si>
  <si>
    <t>Autoloading range A1 - M31</t>
  </si>
  <si>
    <t>Standard Curve 2</t>
  </si>
  <si>
    <t>y = 2.72212 + ( (-0.0268132 - 2.72212) / ( 1 + (x/87.3142)^0.760483) )</t>
  </si>
  <si>
    <t>General information</t>
  </si>
  <si>
    <t>Report generated with SW version</t>
  </si>
  <si>
    <t>SkanIt Software 7.1 RE for Microplate Readers RE, ver. 7.1.0.36</t>
  </si>
  <si>
    <t>Time zone</t>
  </si>
  <si>
    <t>(UTC-06:00) Central Time (US &amp; Canada). Daylight saving time in effect: Offset from UTC is -05:00</t>
  </si>
  <si>
    <t>Session information</t>
  </si>
  <si>
    <t>Session name</t>
  </si>
  <si>
    <t>Session notes</t>
  </si>
  <si>
    <t>Executed with</t>
  </si>
  <si>
    <t>SkanIt Software for Microplate Readers RE, ver 7.1.0.36</t>
  </si>
  <si>
    <t>Execution time</t>
  </si>
  <si>
    <t>Instrument information</t>
  </si>
  <si>
    <t>Name</t>
  </si>
  <si>
    <t>Varioskan ALF</t>
  </si>
  <si>
    <t>ESW version</t>
  </si>
  <si>
    <t>1.00.6</t>
  </si>
  <si>
    <t>Set temperature</t>
  </si>
  <si>
    <t>37.00 °C</t>
  </si>
  <si>
    <t>Serial number</t>
  </si>
  <si>
    <t>3500-00622</t>
  </si>
  <si>
    <t>Instrument modules</t>
  </si>
  <si>
    <t>Excitation filter</t>
  </si>
  <si>
    <t>Excitation filter product number</t>
  </si>
  <si>
    <t>VF34525</t>
  </si>
  <si>
    <t>Blue fluorescence EX</t>
  </si>
  <si>
    <t>Excitation wavelength [nm]</t>
  </si>
  <si>
    <t>345</t>
  </si>
  <si>
    <t>Bandwidth</t>
  </si>
  <si>
    <t>25</t>
  </si>
  <si>
    <t>Permanent</t>
  </si>
  <si>
    <t>Yes</t>
  </si>
  <si>
    <t>Date and time of definition</t>
  </si>
  <si>
    <t>11/13/2025 10:30:00 AM</t>
  </si>
  <si>
    <t>VF48515</t>
  </si>
  <si>
    <t>Green fluorescence EX</t>
  </si>
  <si>
    <t>485</t>
  </si>
  <si>
    <t>15</t>
  </si>
  <si>
    <t>VF55515</t>
  </si>
  <si>
    <t>Orange fluorescence EX</t>
  </si>
  <si>
    <t>555</t>
  </si>
  <si>
    <t>Emission filter</t>
  </si>
  <si>
    <t>Emission filter product number</t>
  </si>
  <si>
    <t>VF45040</t>
  </si>
  <si>
    <t>Blue fluorescence EM</t>
  </si>
  <si>
    <t>Emission wavelength [nm]</t>
  </si>
  <si>
    <t>450</t>
  </si>
  <si>
    <t>40</t>
  </si>
  <si>
    <t>VF52515</t>
  </si>
  <si>
    <t>Green fluorescence EM</t>
  </si>
  <si>
    <t>525</t>
  </si>
  <si>
    <t>VF61545</t>
  </si>
  <si>
    <t>Orange fluorescence EM</t>
  </si>
  <si>
    <t>615</t>
  </si>
  <si>
    <t>45</t>
  </si>
  <si>
    <t>Filter pair</t>
  </si>
  <si>
    <t>Blue fluorescence</t>
  </si>
  <si>
    <t>Scaling factor</t>
  </si>
  <si>
    <t>1</t>
  </si>
  <si>
    <t>Green fluorescence</t>
  </si>
  <si>
    <t>Orange fluorescence</t>
  </si>
  <si>
    <t>Top optics</t>
  </si>
  <si>
    <t>Bottom optics</t>
  </si>
  <si>
    <t>No</t>
  </si>
  <si>
    <t>Photometric monochromator</t>
  </si>
  <si>
    <t>Incubator</t>
  </si>
  <si>
    <t>Protocol parameters</t>
  </si>
  <si>
    <t>Measurement order</t>
  </si>
  <si>
    <t>Check temperature at start [°C]</t>
  </si>
  <si>
    <t>Plate with lid</t>
  </si>
  <si>
    <t>Shake 1</t>
  </si>
  <si>
    <t>Duration [hh:mm:ss]:</t>
  </si>
  <si>
    <t>00:00:20</t>
  </si>
  <si>
    <t>Shaking type</t>
  </si>
  <si>
    <t>Continuous</t>
  </si>
  <si>
    <t>Shaking method</t>
  </si>
  <si>
    <t>Orbital</t>
  </si>
  <si>
    <t>Shaking speed</t>
  </si>
  <si>
    <t>Medium</t>
  </si>
  <si>
    <t>Wavelength [nm]</t>
  </si>
  <si>
    <t>Use transmittance</t>
  </si>
  <si>
    <t>Measurement mode</t>
  </si>
  <si>
    <t>Fast</t>
  </si>
  <si>
    <t>Pathlength correction</t>
  </si>
  <si>
    <t>Run log</t>
  </si>
  <si>
    <t>Time</t>
  </si>
  <si>
    <t>Event</t>
  </si>
  <si>
    <t>Information</t>
  </si>
  <si>
    <t>Session Porcine Adiponectin_CloudClone_09_23_26_first trial.skax started</t>
  </si>
  <si>
    <t>2026-09-23T16:17:22-05:00</t>
  </si>
  <si>
    <t>Temperature</t>
  </si>
  <si>
    <t>37.0°C</t>
  </si>
  <si>
    <t>Step Shake 1 started</t>
  </si>
  <si>
    <t>2026-09-23T16:17:38-05:00</t>
  </si>
  <si>
    <t>2026-09-23T16:17:45-05:00</t>
  </si>
  <si>
    <t>Step Shake 1 ended</t>
  </si>
  <si>
    <t>Step Absorbance 1 started</t>
  </si>
  <si>
    <t>2026-09-23T16:18:18-05:00</t>
  </si>
  <si>
    <t>Step Absorbance 1 ended</t>
  </si>
  <si>
    <t>2026-09-23T16:18:23-05:00</t>
  </si>
  <si>
    <t>Session Porcine Adiponectin_CloudClone_09_23_26_first trial.skax ended</t>
  </si>
  <si>
    <t>Plate template</t>
  </si>
  <si>
    <t>ANSI/SBS Standard, 96-well</t>
  </si>
  <si>
    <t>Group 1</t>
  </si>
  <si>
    <t>3.125 ng/mL</t>
  </si>
  <si>
    <t>1:1</t>
  </si>
  <si>
    <t>6.25 ng/mL</t>
  </si>
  <si>
    <t>12.5 ng/mL</t>
  </si>
  <si>
    <t>25 ng/mL</t>
  </si>
  <si>
    <t>50 ng/mL</t>
  </si>
  <si>
    <t>100 ng/mL</t>
  </si>
  <si>
    <t>200 ng/mL</t>
  </si>
  <si>
    <t>Std7 3.12</t>
  </si>
  <si>
    <t>Serum 1X</t>
  </si>
  <si>
    <t>Sp4 40 (Serum 400X)</t>
  </si>
  <si>
    <t>Std6 6.25</t>
  </si>
  <si>
    <t>Serum 5X</t>
  </si>
  <si>
    <t>EtOH 1X</t>
  </si>
  <si>
    <t>Std5 12.5</t>
  </si>
  <si>
    <t>Serum 25X</t>
  </si>
  <si>
    <t>EtOH 5X</t>
  </si>
  <si>
    <t>Std4 25</t>
  </si>
  <si>
    <t>Serum 100X</t>
  </si>
  <si>
    <t>Serum 125X</t>
  </si>
  <si>
    <t>EtOH 25X</t>
  </si>
  <si>
    <t>Std3 50</t>
  </si>
  <si>
    <t>Serum 400X</t>
  </si>
  <si>
    <t>Serum 625X</t>
  </si>
  <si>
    <t>EtOH 100X</t>
  </si>
  <si>
    <t>Std2 100</t>
  </si>
  <si>
    <t>Sp1 40 (Serum 1X)</t>
  </si>
  <si>
    <t>EtOH 400X</t>
  </si>
  <si>
    <t>Sp5 40 (EtOH 1X)</t>
  </si>
  <si>
    <t>Std1 200</t>
  </si>
  <si>
    <t>Sp2 40 (Serum 25X)</t>
  </si>
  <si>
    <t>Sp6 40 (EtOH 25X)</t>
  </si>
  <si>
    <t>Blank</t>
  </si>
  <si>
    <t>Sp3 40 (Serum 100X)</t>
  </si>
  <si>
    <t>Sp7 40 (EtOH 100X)</t>
  </si>
  <si>
    <t>For Regular Serum</t>
  </si>
  <si>
    <t>Dilution factor</t>
  </si>
  <si>
    <t>Measured</t>
  </si>
  <si>
    <t>Corrected</t>
  </si>
  <si>
    <t>Recovery (%)</t>
  </si>
  <si>
    <t>&lt;min</t>
  </si>
  <si>
    <t>Expected</t>
  </si>
  <si>
    <t>Experimental</t>
  </si>
  <si>
    <t>Serum treated with EtOH</t>
  </si>
  <si>
    <t>Sample vol (uL)</t>
  </si>
  <si>
    <t>Std vol (uL)</t>
  </si>
  <si>
    <t>Std Conc (ng/mL)</t>
  </si>
  <si>
    <t>Spike Conc (ng/mL)</t>
  </si>
  <si>
    <t>Spikes Preparation</t>
  </si>
  <si>
    <t>Spike 1 (Serum 1X)</t>
  </si>
  <si>
    <t>Spike 2 (Serum 25X)</t>
  </si>
  <si>
    <t>Spike 3 (Serum 100X)</t>
  </si>
  <si>
    <t>Spike 4 (Serum 400X</t>
  </si>
  <si>
    <t>Sp8 40 (EtOH 400X)</t>
  </si>
  <si>
    <t>Spike 5 (EtOH 1X)</t>
  </si>
  <si>
    <t>Spike 6 (EtOH 25X)</t>
  </si>
  <si>
    <t>Spike 7 (EtOH 100X)</t>
  </si>
  <si>
    <t>Spike 8 (EtOH 400X</t>
  </si>
  <si>
    <t>EtOH = ethanol extracted serum</t>
  </si>
  <si>
    <t>Sp = spike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</si>
</sst>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000"/>
    <numFmt numFmtId="166" formatCode="0.00000"/>
    <numFmt numFmtId="167" formatCode="0.000"/>
    <numFmt numFmtId="168" formatCode="0.00000000"/>
    <numFmt numFmtId="169" formatCode="0.0000000"/>
  </numFmts>
  <fonts count="2" x14ac:knownFonts="1">
    <font>
      <sz val="10"/>
      <name val="Arial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66BFA6"/>
      </patternFill>
    </fill>
    <fill>
      <patternFill patternType="solid">
        <fgColor rgb="FF5685C4"/>
      </patternFill>
    </fill>
    <fill>
      <patternFill patternType="solid">
        <fgColor rgb="FFE7F4F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3DBDA"/>
        <bgColor rgb="FF000000"/>
      </patternFill>
    </fill>
    <fill>
      <patternFill patternType="solid">
        <fgColor rgb="FFB6CCE4"/>
        <bgColor rgb="FF000000"/>
      </patternFill>
    </fill>
  </fills>
  <borders count="7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/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3" borderId="2" xfId="0" applyFill="1" applyBorder="1"/>
    <xf numFmtId="0" fontId="0" fillId="2" borderId="3" xfId="0" applyFill="1" applyBorder="1"/>
    <xf numFmtId="0" fontId="0" fillId="3" borderId="3" xfId="0" applyFill="1" applyBorder="1"/>
    <xf numFmtId="0" fontId="0" fillId="2" borderId="4" xfId="0" applyFill="1" applyBorder="1"/>
    <xf numFmtId="0" fontId="0" fillId="3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right"/>
    </xf>
    <xf numFmtId="164" fontId="0" fillId="0" borderId="5" xfId="0" applyNumberFormat="1" applyBorder="1" applyAlignment="1">
      <alignment horizontal="right"/>
    </xf>
    <xf numFmtId="0" fontId="0" fillId="0" borderId="5" xfId="0" applyBorder="1"/>
    <xf numFmtId="165" fontId="0" fillId="0" borderId="5" xfId="0" applyNumberFormat="1" applyBorder="1" applyAlignment="1">
      <alignment horizontal="right"/>
    </xf>
    <xf numFmtId="166" fontId="0" fillId="0" borderId="5" xfId="0" applyNumberFormat="1" applyBorder="1" applyAlignment="1">
      <alignment horizontal="right"/>
    </xf>
    <xf numFmtId="169" fontId="0" fillId="0" borderId="5" xfId="0" applyNumberFormat="1" applyBorder="1" applyAlignment="1">
      <alignment horizontal="right"/>
    </xf>
    <xf numFmtId="168" fontId="0" fillId="0" borderId="5" xfId="0" applyNumberFormat="1" applyBorder="1" applyAlignment="1">
      <alignment horizontal="right"/>
    </xf>
    <xf numFmtId="167" fontId="0" fillId="0" borderId="5" xfId="0" applyNumberFormat="1" applyBorder="1" applyAlignment="1">
      <alignment horizontal="right"/>
    </xf>
    <xf numFmtId="0" fontId="0" fillId="6" borderId="5" xfId="0" applyFill="1" applyBorder="1" applyAlignment="1">
      <alignment horizontal="left"/>
    </xf>
    <xf numFmtId="0" fontId="0" fillId="6" borderId="5" xfId="0" applyFill="1" applyBorder="1"/>
    <xf numFmtId="1" fontId="0" fillId="0" borderId="5" xfId="0" applyNumberFormat="1" applyBorder="1" applyAlignment="1">
      <alignment horizontal="right"/>
    </xf>
    <xf numFmtId="0" fontId="0" fillId="0" borderId="5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5" borderId="0" xfId="0" applyFill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8" borderId="0" xfId="0" applyFill="1" applyAlignment="1">
      <alignment horizontal="left"/>
    </xf>
    <xf numFmtId="0" fontId="0" fillId="9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5</xdr:col>
      <xdr:colOff>1181100</xdr:colOff>
      <xdr:row>33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76500"/>
          <a:ext cx="6858000" cy="38100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5</xdr:col>
      <xdr:colOff>638175</xdr:colOff>
      <xdr:row>33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76500"/>
          <a:ext cx="6858000" cy="3810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M31"/>
  <sheetViews>
    <sheetView workbookViewId="0">
      <selection activeCell="L30" sqref="L30:M31"/>
    </sheetView>
  </sheetViews>
  <sheetFormatPr defaultColWidth="9.140625" defaultRowHeight="15" customHeight="1" x14ac:dyDescent="0.2"/>
  <cols>
    <col min="1" max="1" width="26.42578125" customWidth="1"/>
    <col min="2" max="7" width="8" customWidth="1"/>
    <col min="8" max="13" width="18.57031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4</v>
      </c>
    </row>
    <row r="6" spans="1:13" ht="15" customHeight="1" x14ac:dyDescent="0.2">
      <c r="A6" t="s">
        <v>5</v>
      </c>
    </row>
    <row r="7" spans="1:13" ht="15" customHeight="1" x14ac:dyDescent="0.2">
      <c r="A7" t="s">
        <v>3</v>
      </c>
    </row>
    <row r="8" spans="1:13" ht="15" customHeight="1" x14ac:dyDescent="0.2">
      <c r="A8" t="s">
        <v>6</v>
      </c>
    </row>
    <row r="9" spans="1:13" ht="15" customHeight="1" x14ac:dyDescent="0.2">
      <c r="A9" t="s">
        <v>3</v>
      </c>
    </row>
    <row r="10" spans="1:13" ht="15" customHeight="1" x14ac:dyDescent="0.2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21">
        <v>7</v>
      </c>
      <c r="I10" s="21">
        <v>8</v>
      </c>
      <c r="J10" s="21">
        <v>9</v>
      </c>
      <c r="K10" s="21">
        <v>10</v>
      </c>
      <c r="L10" s="21">
        <v>11</v>
      </c>
      <c r="M10" s="21">
        <v>12</v>
      </c>
    </row>
    <row r="11" spans="1:13" ht="15" customHeight="1" x14ac:dyDescent="0.2">
      <c r="A11" t="s">
        <v>8</v>
      </c>
      <c r="B11" s="2"/>
      <c r="C11" s="2"/>
      <c r="D11" s="2"/>
      <c r="E11" s="2"/>
      <c r="F11" s="2"/>
      <c r="G11" s="2"/>
      <c r="H11" s="22">
        <v>0.37309999999999999</v>
      </c>
      <c r="I11" s="22">
        <v>0.35410000000000003</v>
      </c>
      <c r="J11" s="22">
        <v>0.17349999999999999</v>
      </c>
      <c r="K11" s="22">
        <v>0.1804</v>
      </c>
      <c r="L11" s="22">
        <v>1.3015000000000001</v>
      </c>
      <c r="M11" s="22">
        <v>1.2776000000000001</v>
      </c>
    </row>
    <row r="12" spans="1:13" ht="15" customHeight="1" x14ac:dyDescent="0.2">
      <c r="A12" t="s">
        <v>9</v>
      </c>
      <c r="B12" s="2"/>
      <c r="C12" s="2"/>
      <c r="D12" s="2"/>
      <c r="E12" s="2"/>
      <c r="F12" s="2"/>
      <c r="G12" s="2"/>
      <c r="H12" s="22">
        <v>0.49919999999999998</v>
      </c>
      <c r="I12" s="22">
        <v>0.48859999999999998</v>
      </c>
      <c r="J12" s="22">
        <v>0.15440000000000001</v>
      </c>
      <c r="K12" s="22">
        <v>0.1525</v>
      </c>
      <c r="L12" s="22">
        <v>0.12230000000000001</v>
      </c>
      <c r="M12" s="22">
        <v>0.12379999999999999</v>
      </c>
    </row>
    <row r="13" spans="1:13" ht="15" customHeight="1" x14ac:dyDescent="0.2">
      <c r="A13" t="s">
        <v>10</v>
      </c>
      <c r="B13" s="2"/>
      <c r="C13" s="2"/>
      <c r="D13" s="2"/>
      <c r="E13" s="2"/>
      <c r="F13" s="2"/>
      <c r="G13" s="2"/>
      <c r="H13" s="22">
        <v>0.6996</v>
      </c>
      <c r="I13" s="22">
        <v>0.68610000000000004</v>
      </c>
      <c r="J13" s="22">
        <v>0.14860000000000001</v>
      </c>
      <c r="K13" s="22">
        <v>0.16289999999999999</v>
      </c>
      <c r="L13" s="22">
        <v>0.14499999999999999</v>
      </c>
      <c r="M13" s="22">
        <v>0.14380000000000001</v>
      </c>
    </row>
    <row r="14" spans="1:13" ht="15" customHeight="1" x14ac:dyDescent="0.2">
      <c r="A14" t="s">
        <v>11</v>
      </c>
      <c r="B14" s="2"/>
      <c r="C14" s="2"/>
      <c r="D14" s="2"/>
      <c r="E14" s="2"/>
      <c r="F14" s="2"/>
      <c r="G14" s="2"/>
      <c r="H14" s="22">
        <v>0.94469999999999998</v>
      </c>
      <c r="I14" s="22">
        <v>0.88590000000000002</v>
      </c>
      <c r="J14" s="22">
        <v>0.15640000000000001</v>
      </c>
      <c r="K14" s="22">
        <v>0.15720000000000001</v>
      </c>
      <c r="L14" s="22">
        <v>0.15790000000000001</v>
      </c>
      <c r="M14" s="22">
        <v>0.1714</v>
      </c>
    </row>
    <row r="15" spans="1:13" ht="15" customHeight="1" x14ac:dyDescent="0.2">
      <c r="A15" t="s">
        <v>12</v>
      </c>
      <c r="B15" s="2"/>
      <c r="C15" s="2"/>
      <c r="D15" s="2"/>
      <c r="E15" s="2"/>
      <c r="F15" s="2"/>
      <c r="G15" s="2"/>
      <c r="H15" s="22">
        <v>1.28</v>
      </c>
      <c r="I15" s="22">
        <v>1.2245999999999999</v>
      </c>
      <c r="J15" s="22">
        <v>0.15049999999999999</v>
      </c>
      <c r="K15" s="22">
        <v>0.16400000000000001</v>
      </c>
      <c r="L15" s="22">
        <v>0.17219999999999999</v>
      </c>
      <c r="M15" s="22">
        <v>0.16869999999999999</v>
      </c>
    </row>
    <row r="16" spans="1:13" ht="15" customHeight="1" x14ac:dyDescent="0.2">
      <c r="A16" t="s">
        <v>13</v>
      </c>
      <c r="B16" s="2"/>
      <c r="C16" s="2"/>
      <c r="D16" s="2"/>
      <c r="E16" s="2"/>
      <c r="F16" s="2"/>
      <c r="G16" s="2"/>
      <c r="H16" s="22">
        <v>1.6143000000000001</v>
      </c>
      <c r="I16" s="22">
        <v>1.6271</v>
      </c>
      <c r="J16" s="22">
        <v>0.82509999999999994</v>
      </c>
      <c r="K16" s="22">
        <v>0.84370000000000001</v>
      </c>
      <c r="L16" s="22">
        <v>0.1656</v>
      </c>
      <c r="M16" s="22">
        <v>0.72309999999999997</v>
      </c>
    </row>
    <row r="17" spans="1:13" ht="15" customHeight="1" x14ac:dyDescent="0.2">
      <c r="A17" t="s">
        <v>14</v>
      </c>
      <c r="B17" s="2"/>
      <c r="C17" s="2"/>
      <c r="D17" s="2"/>
      <c r="E17" s="2"/>
      <c r="F17" s="2"/>
      <c r="G17" s="2"/>
      <c r="H17" s="22">
        <v>2.0293000000000001</v>
      </c>
      <c r="I17" s="22">
        <v>1.8834</v>
      </c>
      <c r="J17" s="22">
        <v>1.0145999999999999</v>
      </c>
      <c r="K17" s="22">
        <v>1.0564</v>
      </c>
      <c r="L17" s="22">
        <v>1.1249</v>
      </c>
      <c r="M17" s="22">
        <v>1.1571</v>
      </c>
    </row>
    <row r="18" spans="1:13" ht="15" customHeight="1" x14ac:dyDescent="0.2">
      <c r="A18" t="s">
        <v>15</v>
      </c>
      <c r="B18" s="2"/>
      <c r="C18" s="2"/>
      <c r="D18" s="2"/>
      <c r="E18" s="2"/>
      <c r="F18" s="2"/>
      <c r="G18" s="2"/>
      <c r="H18" s="22">
        <v>1.0946</v>
      </c>
      <c r="I18" s="22">
        <v>0.193</v>
      </c>
      <c r="J18" s="22">
        <v>1.1442000000000001</v>
      </c>
      <c r="K18" s="22">
        <v>1.2393000000000001</v>
      </c>
      <c r="L18" s="22">
        <v>1.3008999999999999</v>
      </c>
      <c r="M18" s="22">
        <v>1.4571000000000001</v>
      </c>
    </row>
    <row r="20" spans="1:13" ht="15" customHeight="1" x14ac:dyDescent="0.2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 ht="15" customHeight="1" x14ac:dyDescent="0.2">
      <c r="A21" t="s">
        <v>8</v>
      </c>
      <c r="H21" s="20" t="s">
        <v>198</v>
      </c>
      <c r="I21" s="20" t="s">
        <v>198</v>
      </c>
      <c r="J21" s="20" t="s">
        <v>199</v>
      </c>
      <c r="K21" s="20" t="s">
        <v>199</v>
      </c>
      <c r="L21" s="20" t="s">
        <v>200</v>
      </c>
      <c r="M21" s="20" t="s">
        <v>200</v>
      </c>
    </row>
    <row r="22" spans="1:13" ht="15" customHeight="1" x14ac:dyDescent="0.2">
      <c r="A22" t="s">
        <v>9</v>
      </c>
      <c r="H22" s="20" t="s">
        <v>201</v>
      </c>
      <c r="I22" s="20" t="s">
        <v>201</v>
      </c>
      <c r="J22" s="20" t="s">
        <v>202</v>
      </c>
      <c r="K22" s="20" t="s">
        <v>202</v>
      </c>
      <c r="L22" s="20" t="s">
        <v>203</v>
      </c>
      <c r="M22" s="20" t="s">
        <v>203</v>
      </c>
    </row>
    <row r="23" spans="1:13" ht="15" customHeight="1" x14ac:dyDescent="0.2">
      <c r="A23" t="s">
        <v>10</v>
      </c>
      <c r="H23" s="20" t="s">
        <v>204</v>
      </c>
      <c r="I23" s="20" t="s">
        <v>204</v>
      </c>
      <c r="J23" s="20" t="s">
        <v>205</v>
      </c>
      <c r="K23" s="20" t="s">
        <v>205</v>
      </c>
      <c r="L23" s="20" t="s">
        <v>206</v>
      </c>
      <c r="M23" s="20" t="s">
        <v>206</v>
      </c>
    </row>
    <row r="24" spans="1:13" ht="15" customHeight="1" x14ac:dyDescent="0.2">
      <c r="A24" t="s">
        <v>11</v>
      </c>
      <c r="H24" s="20" t="s">
        <v>207</v>
      </c>
      <c r="I24" s="20" t="s">
        <v>207</v>
      </c>
      <c r="J24" s="20" t="s">
        <v>208</v>
      </c>
      <c r="K24" s="20" t="s">
        <v>209</v>
      </c>
      <c r="L24" s="20" t="s">
        <v>210</v>
      </c>
      <c r="M24" s="20" t="s">
        <v>210</v>
      </c>
    </row>
    <row r="25" spans="1:13" ht="15" customHeight="1" x14ac:dyDescent="0.2">
      <c r="A25" t="s">
        <v>12</v>
      </c>
      <c r="H25" s="20" t="s">
        <v>211</v>
      </c>
      <c r="I25" s="20" t="s">
        <v>211</v>
      </c>
      <c r="J25" s="20" t="s">
        <v>212</v>
      </c>
      <c r="K25" s="20" t="s">
        <v>213</v>
      </c>
      <c r="L25" s="20" t="s">
        <v>214</v>
      </c>
      <c r="M25" s="20" t="s">
        <v>214</v>
      </c>
    </row>
    <row r="26" spans="1:13" ht="15" customHeight="1" x14ac:dyDescent="0.2">
      <c r="A26" t="s">
        <v>13</v>
      </c>
      <c r="H26" s="20" t="s">
        <v>215</v>
      </c>
      <c r="I26" s="20" t="s">
        <v>215</v>
      </c>
      <c r="J26" s="20" t="s">
        <v>216</v>
      </c>
      <c r="K26" s="20" t="s">
        <v>216</v>
      </c>
      <c r="L26" s="20" t="s">
        <v>217</v>
      </c>
      <c r="M26" s="20" t="s">
        <v>218</v>
      </c>
    </row>
    <row r="27" spans="1:13" ht="15" customHeight="1" x14ac:dyDescent="0.2">
      <c r="A27" t="s">
        <v>14</v>
      </c>
      <c r="H27" s="20" t="s">
        <v>219</v>
      </c>
      <c r="I27" s="20" t="s">
        <v>219</v>
      </c>
      <c r="J27" s="20" t="s">
        <v>220</v>
      </c>
      <c r="K27" s="20" t="s">
        <v>220</v>
      </c>
      <c r="L27" s="20" t="s">
        <v>221</v>
      </c>
      <c r="M27" s="20" t="s">
        <v>221</v>
      </c>
    </row>
    <row r="28" spans="1:13" ht="15" customHeight="1" x14ac:dyDescent="0.2">
      <c r="A28" t="s">
        <v>15</v>
      </c>
      <c r="H28" s="20" t="s">
        <v>243</v>
      </c>
      <c r="I28" s="20" t="s">
        <v>222</v>
      </c>
      <c r="J28" s="20" t="s">
        <v>223</v>
      </c>
      <c r="K28" s="20" t="s">
        <v>223</v>
      </c>
      <c r="L28" s="20" t="s">
        <v>224</v>
      </c>
      <c r="M28" s="20" t="s">
        <v>224</v>
      </c>
    </row>
    <row r="30" spans="1:13" ht="15" customHeight="1" x14ac:dyDescent="0.2">
      <c r="A30" t="s">
        <v>43</v>
      </c>
      <c r="L30" s="38" t="s">
        <v>248</v>
      </c>
      <c r="M30" s="38"/>
    </row>
    <row r="31" spans="1:13" ht="15" customHeight="1" x14ac:dyDescent="0.2">
      <c r="L31" s="39" t="s">
        <v>249</v>
      </c>
      <c r="M31" s="3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tandard Curve 1_02"/>
  <dimension ref="A1:G105"/>
  <sheetViews>
    <sheetView topLeftCell="A68" workbookViewId="0">
      <selection activeCell="G104" sqref="G104"/>
    </sheetView>
  </sheetViews>
  <sheetFormatPr defaultColWidth="9.140625" defaultRowHeight="15" customHeight="1" x14ac:dyDescent="0.2"/>
  <cols>
    <col min="1" max="1" width="12.5703125" customWidth="1"/>
    <col min="2" max="3" width="17.85546875" customWidth="1"/>
    <col min="4" max="7" width="18.42578125" customWidth="1"/>
    <col min="8" max="9" width="10.42578125" customWidth="1"/>
    <col min="10" max="12" width="11.28515625" customWidth="1"/>
    <col min="13" max="13" width="12.4257812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1</v>
      </c>
    </row>
    <row r="3" spans="1:1" ht="15" customHeight="1" x14ac:dyDescent="0.2">
      <c r="A3" t="s">
        <v>2</v>
      </c>
    </row>
    <row r="4" spans="1:1" ht="15" customHeight="1" x14ac:dyDescent="0.2">
      <c r="A4" t="s">
        <v>3</v>
      </c>
    </row>
    <row r="5" spans="1:1" ht="15" customHeight="1" x14ac:dyDescent="0.2">
      <c r="A5" t="s">
        <v>44</v>
      </c>
    </row>
    <row r="7" spans="1:1" ht="15" customHeight="1" x14ac:dyDescent="0.2">
      <c r="A7" t="s">
        <v>45</v>
      </c>
    </row>
    <row r="8" spans="1:1" ht="15" customHeight="1" x14ac:dyDescent="0.2">
      <c r="A8" t="s">
        <v>46</v>
      </c>
    </row>
    <row r="9" spans="1:1" ht="15" customHeight="1" x14ac:dyDescent="0.2">
      <c r="A9" t="s">
        <v>47</v>
      </c>
    </row>
    <row r="10" spans="1:1" ht="15" customHeight="1" x14ac:dyDescent="0.2">
      <c r="A10" t="s">
        <v>5</v>
      </c>
    </row>
    <row r="11" spans="1:1" ht="15" customHeight="1" x14ac:dyDescent="0.2">
      <c r="A11" t="s">
        <v>48</v>
      </c>
    </row>
    <row r="12" spans="1:1" ht="15" customHeight="1" x14ac:dyDescent="0.2">
      <c r="A12" t="s">
        <v>49</v>
      </c>
    </row>
    <row r="13" spans="1:1" ht="15" customHeight="1" x14ac:dyDescent="0.2">
      <c r="A13" t="s">
        <v>3</v>
      </c>
    </row>
    <row r="15" spans="1:1" ht="15" customHeight="1" x14ac:dyDescent="0.2">
      <c r="A15" t="s">
        <v>3</v>
      </c>
    </row>
    <row r="36" spans="1:7" ht="15" customHeight="1" x14ac:dyDescent="0.2">
      <c r="A36" t="s">
        <v>50</v>
      </c>
    </row>
    <row r="38" spans="1:7" ht="15" customHeight="1" x14ac:dyDescent="0.2">
      <c r="A38" t="s">
        <v>51</v>
      </c>
    </row>
    <row r="39" spans="1:7" ht="12.75" x14ac:dyDescent="0.2">
      <c r="A39" t="s">
        <v>52</v>
      </c>
    </row>
    <row r="40" spans="1:7" ht="12.75" x14ac:dyDescent="0.2">
      <c r="A40" t="s">
        <v>53</v>
      </c>
      <c r="B40" s="3">
        <v>0.166215</v>
      </c>
    </row>
    <row r="41" spans="1:7" ht="12.75" x14ac:dyDescent="0.2">
      <c r="A41" t="s">
        <v>54</v>
      </c>
      <c r="B41" s="3">
        <v>0.76048300000000002</v>
      </c>
    </row>
    <row r="42" spans="1:7" ht="12.75" x14ac:dyDescent="0.2">
      <c r="A42" t="s">
        <v>55</v>
      </c>
      <c r="B42" s="4">
        <v>87.3142</v>
      </c>
    </row>
    <row r="43" spans="1:7" ht="12.75" x14ac:dyDescent="0.2">
      <c r="A43" t="s">
        <v>56</v>
      </c>
      <c r="B43" s="5">
        <v>2.9151500000000001</v>
      </c>
    </row>
    <row r="44" spans="1:7" ht="12.75" x14ac:dyDescent="0.2"/>
    <row r="45" spans="1:7" ht="12.75" x14ac:dyDescent="0.2">
      <c r="A45" t="s">
        <v>57</v>
      </c>
    </row>
    <row r="46" spans="1:7" ht="12.75" x14ac:dyDescent="0.2">
      <c r="A46" t="s">
        <v>3</v>
      </c>
    </row>
    <row r="47" spans="1:7" ht="12.75" x14ac:dyDescent="0.2">
      <c r="A47" t="s">
        <v>58</v>
      </c>
      <c r="B47" t="s">
        <v>16</v>
      </c>
      <c r="C47" t="s">
        <v>59</v>
      </c>
      <c r="D47" t="s">
        <v>60</v>
      </c>
      <c r="E47" t="s">
        <v>61</v>
      </c>
      <c r="F47" t="s">
        <v>62</v>
      </c>
      <c r="G47" t="s">
        <v>63</v>
      </c>
    </row>
    <row r="48" spans="1:7" ht="12.75" x14ac:dyDescent="0.2">
      <c r="A48" t="s">
        <v>64</v>
      </c>
      <c r="B48" t="s">
        <v>35</v>
      </c>
      <c r="C48" s="6">
        <v>200</v>
      </c>
      <c r="D48" s="5">
        <v>1.9563699999999999</v>
      </c>
      <c r="E48" s="5">
        <v>5.2719399999999998</v>
      </c>
      <c r="F48" s="5">
        <v>1.9600500000000001</v>
      </c>
      <c r="G48" s="7">
        <v>-3.6786000000000002E-3</v>
      </c>
    </row>
    <row r="49" spans="1:7" ht="12.75" x14ac:dyDescent="0.2">
      <c r="A49" t="s">
        <v>65</v>
      </c>
      <c r="B49" t="s">
        <v>35</v>
      </c>
      <c r="C49" s="6">
        <v>200</v>
      </c>
      <c r="D49" s="5">
        <v>2.0293000000000001</v>
      </c>
      <c r="F49" s="5">
        <v>1.9600500000000001</v>
      </c>
      <c r="G49" s="8">
        <v>6.9251400000000005E-2</v>
      </c>
    </row>
    <row r="50" spans="1:7" ht="12.75" x14ac:dyDescent="0.2">
      <c r="A50" t="s">
        <v>66</v>
      </c>
      <c r="B50" t="s">
        <v>35</v>
      </c>
      <c r="C50" s="6">
        <v>200</v>
      </c>
      <c r="D50" s="5">
        <v>1.88344</v>
      </c>
      <c r="F50" s="5">
        <v>1.9600500000000001</v>
      </c>
      <c r="G50" s="8">
        <v>-7.6608599999999999E-2</v>
      </c>
    </row>
    <row r="51" spans="1:7" ht="12.75" x14ac:dyDescent="0.2">
      <c r="A51" t="s">
        <v>64</v>
      </c>
      <c r="B51" t="s">
        <v>32</v>
      </c>
      <c r="C51" s="6">
        <v>100</v>
      </c>
      <c r="D51" s="5">
        <v>1.6207100000000001</v>
      </c>
      <c r="E51" s="3">
        <v>0.55715000000000003</v>
      </c>
      <c r="F51" s="5">
        <v>1.6115200000000001</v>
      </c>
      <c r="G51" s="7">
        <v>9.1863299999999995E-3</v>
      </c>
    </row>
    <row r="52" spans="1:7" ht="12.75" x14ac:dyDescent="0.2">
      <c r="A52" t="s">
        <v>67</v>
      </c>
      <c r="B52" t="s">
        <v>32</v>
      </c>
      <c r="C52" s="6">
        <v>100</v>
      </c>
      <c r="D52" s="5">
        <v>1.61432</v>
      </c>
      <c r="F52" s="5">
        <v>1.6115200000000001</v>
      </c>
      <c r="G52" s="7">
        <v>2.8013299999999999E-3</v>
      </c>
    </row>
    <row r="53" spans="1:7" ht="12.75" x14ac:dyDescent="0.2">
      <c r="A53" t="s">
        <v>68</v>
      </c>
      <c r="B53" t="s">
        <v>32</v>
      </c>
      <c r="C53" s="6">
        <v>100</v>
      </c>
      <c r="D53" s="5">
        <v>1.6270899999999999</v>
      </c>
      <c r="F53" s="5">
        <v>1.6115200000000001</v>
      </c>
      <c r="G53" s="8">
        <v>1.55713E-2</v>
      </c>
    </row>
    <row r="54" spans="1:7" ht="12.75" x14ac:dyDescent="0.2">
      <c r="A54" t="s">
        <v>64</v>
      </c>
      <c r="B54" t="s">
        <v>29</v>
      </c>
      <c r="C54" s="4">
        <v>50</v>
      </c>
      <c r="D54" s="5">
        <v>1.25227</v>
      </c>
      <c r="E54" s="5">
        <v>3.1282199999999998</v>
      </c>
      <c r="F54" s="5">
        <v>1.2536099999999999</v>
      </c>
      <c r="G54" s="7">
        <v>-1.33921E-3</v>
      </c>
    </row>
    <row r="55" spans="1:7" ht="12.75" x14ac:dyDescent="0.2">
      <c r="A55" t="s">
        <v>69</v>
      </c>
      <c r="B55" t="s">
        <v>29</v>
      </c>
      <c r="C55" s="4">
        <v>50</v>
      </c>
      <c r="D55" s="5">
        <v>1.2799700000000001</v>
      </c>
      <c r="F55" s="5">
        <v>1.2536099999999999</v>
      </c>
      <c r="G55" s="8">
        <v>2.63608E-2</v>
      </c>
    </row>
    <row r="56" spans="1:7" ht="12.75" x14ac:dyDescent="0.2">
      <c r="A56" t="s">
        <v>70</v>
      </c>
      <c r="B56" t="s">
        <v>29</v>
      </c>
      <c r="C56" s="4">
        <v>50</v>
      </c>
      <c r="D56" s="5">
        <v>1.2245699999999999</v>
      </c>
      <c r="F56" s="5">
        <v>1.2536099999999999</v>
      </c>
      <c r="G56" s="8">
        <v>-2.9039200000000001E-2</v>
      </c>
    </row>
    <row r="57" spans="1:7" ht="12.75" x14ac:dyDescent="0.2">
      <c r="A57" t="s">
        <v>64</v>
      </c>
      <c r="B57" t="s">
        <v>26</v>
      </c>
      <c r="C57" s="4">
        <v>25</v>
      </c>
      <c r="D57" s="3">
        <v>0.91530500000000004</v>
      </c>
      <c r="E57" s="5">
        <v>4.5364199999999997</v>
      </c>
      <c r="F57" s="3">
        <v>0.93225000000000002</v>
      </c>
      <c r="G57" s="8">
        <v>-1.6945399999999999E-2</v>
      </c>
    </row>
    <row r="58" spans="1:7" ht="12.75" x14ac:dyDescent="0.2">
      <c r="A58" t="s">
        <v>71</v>
      </c>
      <c r="B58" t="s">
        <v>26</v>
      </c>
      <c r="C58" s="4">
        <v>25</v>
      </c>
      <c r="D58" s="3">
        <v>0.94466499999999998</v>
      </c>
      <c r="F58" s="3">
        <v>0.93225000000000002</v>
      </c>
      <c r="G58" s="8">
        <v>1.24151E-2</v>
      </c>
    </row>
    <row r="59" spans="1:7" ht="12.75" x14ac:dyDescent="0.2">
      <c r="A59" t="s">
        <v>72</v>
      </c>
      <c r="B59" t="s">
        <v>26</v>
      </c>
      <c r="C59" s="4">
        <v>25</v>
      </c>
      <c r="D59" s="3">
        <v>0.88594399999999995</v>
      </c>
      <c r="F59" s="3">
        <v>0.93225000000000002</v>
      </c>
      <c r="G59" s="8">
        <v>-4.6305899999999997E-2</v>
      </c>
    </row>
    <row r="60" spans="1:7" ht="12.75" x14ac:dyDescent="0.2">
      <c r="A60" t="s">
        <v>64</v>
      </c>
      <c r="B60" t="s">
        <v>23</v>
      </c>
      <c r="C60" s="4">
        <v>12.5</v>
      </c>
      <c r="D60" s="3">
        <v>0.69284400000000002</v>
      </c>
      <c r="E60" s="5">
        <v>1.37371</v>
      </c>
      <c r="F60" s="3">
        <v>0.67668499999999998</v>
      </c>
      <c r="G60" s="8">
        <v>1.61595E-2</v>
      </c>
    </row>
    <row r="61" spans="1:7" ht="12.75" x14ac:dyDescent="0.2">
      <c r="A61" t="s">
        <v>73</v>
      </c>
      <c r="B61" t="s">
        <v>23</v>
      </c>
      <c r="C61" s="4">
        <v>12.5</v>
      </c>
      <c r="D61" s="3">
        <v>0.69957400000000003</v>
      </c>
      <c r="F61" s="3">
        <v>0.67668499999999998</v>
      </c>
      <c r="G61" s="8">
        <v>2.28895E-2</v>
      </c>
    </row>
    <row r="62" spans="1:7" ht="12.75" x14ac:dyDescent="0.2">
      <c r="A62" t="s">
        <v>74</v>
      </c>
      <c r="B62" t="s">
        <v>23</v>
      </c>
      <c r="C62" s="4">
        <v>12.5</v>
      </c>
      <c r="D62" s="3">
        <v>0.686114</v>
      </c>
      <c r="F62" s="3">
        <v>0.67668499999999998</v>
      </c>
      <c r="G62" s="7">
        <v>9.4294600000000006E-3</v>
      </c>
    </row>
    <row r="63" spans="1:7" ht="12.75" x14ac:dyDescent="0.2">
      <c r="A63" t="s">
        <v>64</v>
      </c>
      <c r="B63" t="s">
        <v>20</v>
      </c>
      <c r="C63" s="5">
        <v>6.25</v>
      </c>
      <c r="D63" s="3">
        <v>0.49392799999999998</v>
      </c>
      <c r="E63" s="5">
        <v>1.51735</v>
      </c>
      <c r="F63" s="3">
        <v>0.49235699999999999</v>
      </c>
      <c r="G63" s="7">
        <v>1.57004E-3</v>
      </c>
    </row>
    <row r="64" spans="1:7" ht="12.75" x14ac:dyDescent="0.2">
      <c r="A64" t="s">
        <v>75</v>
      </c>
      <c r="B64" t="s">
        <v>20</v>
      </c>
      <c r="C64" s="5">
        <v>6.25</v>
      </c>
      <c r="D64" s="3">
        <v>0.49922699999999998</v>
      </c>
      <c r="F64" s="3">
        <v>0.49235699999999999</v>
      </c>
      <c r="G64" s="7">
        <v>6.8695400000000004E-3</v>
      </c>
    </row>
    <row r="65" spans="1:7" ht="12.75" x14ac:dyDescent="0.2">
      <c r="A65" t="s">
        <v>76</v>
      </c>
      <c r="B65" t="s">
        <v>20</v>
      </c>
      <c r="C65" s="5">
        <v>6.25</v>
      </c>
      <c r="D65" s="3">
        <v>0.48862800000000001</v>
      </c>
      <c r="F65" s="3">
        <v>0.49235699999999999</v>
      </c>
      <c r="G65" s="7">
        <v>-3.72946E-3</v>
      </c>
    </row>
    <row r="66" spans="1:7" ht="12.75" x14ac:dyDescent="0.2">
      <c r="A66" t="s">
        <v>64</v>
      </c>
      <c r="B66" t="s">
        <v>17</v>
      </c>
      <c r="C66" s="5">
        <v>3.125</v>
      </c>
      <c r="D66" s="3">
        <v>0.36362</v>
      </c>
      <c r="E66" s="5">
        <v>3.7041300000000001</v>
      </c>
      <c r="F66" s="3">
        <v>0.36857299999999998</v>
      </c>
      <c r="G66" s="7">
        <v>-4.9526300000000004E-3</v>
      </c>
    </row>
    <row r="67" spans="1:7" ht="12.75" x14ac:dyDescent="0.2">
      <c r="A67" t="s">
        <v>77</v>
      </c>
      <c r="B67" t="s">
        <v>17</v>
      </c>
      <c r="C67" s="5">
        <v>3.125</v>
      </c>
      <c r="D67" s="3">
        <v>0.37314399999999998</v>
      </c>
      <c r="F67" s="3">
        <v>0.36857299999999998</v>
      </c>
      <c r="G67" s="7">
        <v>4.5713699999999999E-3</v>
      </c>
    </row>
    <row r="68" spans="1:7" ht="12.75" x14ac:dyDescent="0.2">
      <c r="A68" t="s">
        <v>78</v>
      </c>
      <c r="B68" t="s">
        <v>17</v>
      </c>
      <c r="C68" s="5">
        <v>3.125</v>
      </c>
      <c r="D68" s="3">
        <v>0.35409600000000002</v>
      </c>
      <c r="F68" s="3">
        <v>0.36857299999999998</v>
      </c>
      <c r="G68" s="8">
        <v>-1.4476599999999999E-2</v>
      </c>
    </row>
    <row r="69" spans="1:7" ht="12.75" x14ac:dyDescent="0.2"/>
    <row r="70" spans="1:7" ht="12.75" x14ac:dyDescent="0.2"/>
    <row r="71" spans="1:7" ht="12.75" x14ac:dyDescent="0.2">
      <c r="A71" t="s">
        <v>6</v>
      </c>
    </row>
    <row r="72" spans="1:7" ht="12.75" x14ac:dyDescent="0.2">
      <c r="A72" t="s">
        <v>3</v>
      </c>
    </row>
    <row r="73" spans="1:7" ht="12.75" x14ac:dyDescent="0.2">
      <c r="A73" s="23" t="s">
        <v>79</v>
      </c>
      <c r="B73" s="21">
        <v>7</v>
      </c>
      <c r="C73" s="21">
        <v>8</v>
      </c>
      <c r="D73" s="21">
        <v>9</v>
      </c>
      <c r="E73" s="21">
        <v>10</v>
      </c>
      <c r="F73" s="21">
        <v>11</v>
      </c>
      <c r="G73" s="21">
        <v>12</v>
      </c>
    </row>
    <row r="74" spans="1:7" ht="12.75" x14ac:dyDescent="0.2">
      <c r="A74" s="23" t="s">
        <v>8</v>
      </c>
      <c r="B74" s="24">
        <v>0.37314399999999998</v>
      </c>
      <c r="C74" s="24">
        <v>0.35409600000000002</v>
      </c>
      <c r="D74" s="24">
        <v>0.17349600000000001</v>
      </c>
      <c r="E74" s="24">
        <v>0.18044099999999999</v>
      </c>
      <c r="F74" s="25">
        <v>1.30152</v>
      </c>
      <c r="G74" s="25">
        <v>1.27759</v>
      </c>
    </row>
    <row r="75" spans="1:7" ht="12.75" x14ac:dyDescent="0.2">
      <c r="A75" s="23" t="s">
        <v>9</v>
      </c>
      <c r="B75" s="24">
        <v>0.49922699999999998</v>
      </c>
      <c r="C75" s="24">
        <v>0.48862800000000001</v>
      </c>
      <c r="D75" s="24">
        <v>0.15437500000000001</v>
      </c>
      <c r="E75" s="24">
        <v>0.15254300000000001</v>
      </c>
      <c r="F75" s="24">
        <v>0.12230199999999999</v>
      </c>
      <c r="G75" s="24">
        <v>0.123762</v>
      </c>
    </row>
    <row r="76" spans="1:7" ht="12.75" x14ac:dyDescent="0.2">
      <c r="A76" s="23" t="s">
        <v>10</v>
      </c>
      <c r="B76" s="24">
        <v>0.69957400000000003</v>
      </c>
      <c r="C76" s="24">
        <v>0.686114</v>
      </c>
      <c r="D76" s="24">
        <v>0.148649</v>
      </c>
      <c r="E76" s="24">
        <v>0.16286300000000001</v>
      </c>
      <c r="F76" s="24">
        <v>0.14499100000000001</v>
      </c>
      <c r="G76" s="24">
        <v>0.14382400000000001</v>
      </c>
    </row>
    <row r="77" spans="1:7" ht="12.75" x14ac:dyDescent="0.2">
      <c r="A77" s="23" t="s">
        <v>11</v>
      </c>
      <c r="B77" s="24">
        <v>0.94466499999999998</v>
      </c>
      <c r="C77" s="24">
        <v>0.88594399999999995</v>
      </c>
      <c r="D77" s="24">
        <v>0.156386</v>
      </c>
      <c r="E77" s="24">
        <v>0.15724299999999999</v>
      </c>
      <c r="F77" s="24">
        <v>0.15786800000000001</v>
      </c>
      <c r="G77" s="24">
        <v>0.17136799999999999</v>
      </c>
    </row>
    <row r="78" spans="1:7" ht="12.75" x14ac:dyDescent="0.2">
      <c r="A78" s="23" t="s">
        <v>12</v>
      </c>
      <c r="B78" s="25">
        <v>1.2799700000000001</v>
      </c>
      <c r="C78" s="25">
        <v>1.2245699999999999</v>
      </c>
      <c r="D78" s="24">
        <v>0.15051</v>
      </c>
      <c r="E78" s="24">
        <v>0.16395699999999999</v>
      </c>
      <c r="F78" s="24">
        <v>0.17219799999999999</v>
      </c>
      <c r="G78" s="24">
        <v>0.168739</v>
      </c>
    </row>
    <row r="79" spans="1:7" ht="12.75" x14ac:dyDescent="0.2">
      <c r="A79" s="23" t="s">
        <v>13</v>
      </c>
      <c r="B79" s="25">
        <v>1.61432</v>
      </c>
      <c r="C79" s="25">
        <v>1.6270899999999999</v>
      </c>
      <c r="D79" s="24">
        <v>0.82505799999999996</v>
      </c>
      <c r="E79" s="24">
        <v>0.84366600000000003</v>
      </c>
      <c r="F79" s="24">
        <v>0.16558800000000001</v>
      </c>
      <c r="G79" s="24">
        <v>0.72312399999999999</v>
      </c>
    </row>
    <row r="80" spans="1:7" ht="12.75" x14ac:dyDescent="0.2">
      <c r="A80" s="23" t="s">
        <v>14</v>
      </c>
      <c r="B80" s="25">
        <v>2.0293000000000001</v>
      </c>
      <c r="C80" s="25">
        <v>1.88344</v>
      </c>
      <c r="D80" s="25">
        <v>1.0145999999999999</v>
      </c>
      <c r="E80" s="25">
        <v>1.05637</v>
      </c>
      <c r="F80" s="25">
        <v>1.1249</v>
      </c>
      <c r="G80" s="25">
        <v>1.15707</v>
      </c>
    </row>
    <row r="81" spans="1:7" ht="12.75" x14ac:dyDescent="0.2">
      <c r="A81" s="23" t="s">
        <v>15</v>
      </c>
      <c r="B81" s="25">
        <v>1.09459</v>
      </c>
      <c r="C81" s="23"/>
      <c r="D81" s="25">
        <v>1.14415</v>
      </c>
      <c r="E81" s="25">
        <v>1.23932</v>
      </c>
      <c r="F81" s="25">
        <v>1.3009299999999999</v>
      </c>
      <c r="G81" s="25">
        <v>1.45705</v>
      </c>
    </row>
    <row r="82" spans="1:7" ht="12.75" x14ac:dyDescent="0.2"/>
    <row r="83" spans="1:7" ht="12.75" x14ac:dyDescent="0.2">
      <c r="A83" s="23" t="s">
        <v>59</v>
      </c>
      <c r="B83" s="21">
        <v>7</v>
      </c>
      <c r="C83" s="21">
        <v>8</v>
      </c>
      <c r="D83" s="21">
        <v>9</v>
      </c>
      <c r="E83" s="21">
        <v>10</v>
      </c>
      <c r="F83" s="21">
        <v>11</v>
      </c>
      <c r="G83" s="21">
        <v>12</v>
      </c>
    </row>
    <row r="84" spans="1:7" ht="12.75" x14ac:dyDescent="0.2">
      <c r="A84" s="23" t="s">
        <v>8</v>
      </c>
      <c r="B84" s="25">
        <v>3.2257699999999998</v>
      </c>
      <c r="C84" s="25">
        <v>2.8133499999999998</v>
      </c>
      <c r="D84" s="26">
        <v>3.5811000000000003E-2</v>
      </c>
      <c r="E84" s="26">
        <v>8.6689199999999994E-2</v>
      </c>
      <c r="F84" s="22">
        <v>54.992400000000004</v>
      </c>
      <c r="G84" s="22">
        <v>52.448099999999997</v>
      </c>
    </row>
    <row r="85" spans="1:7" ht="12.75" x14ac:dyDescent="0.2">
      <c r="A85" s="23" t="s">
        <v>9</v>
      </c>
      <c r="B85" s="25">
        <v>6.4477099999999998</v>
      </c>
      <c r="C85" s="25">
        <v>6.1437499999999998</v>
      </c>
      <c r="D85" s="23" t="s">
        <v>80</v>
      </c>
      <c r="E85" s="23" t="s">
        <v>80</v>
      </c>
      <c r="F85" s="23" t="s">
        <v>80</v>
      </c>
      <c r="G85" s="23" t="s">
        <v>80</v>
      </c>
    </row>
    <row r="86" spans="1:7" ht="12.75" x14ac:dyDescent="0.2">
      <c r="A86" s="23" t="s">
        <v>10</v>
      </c>
      <c r="B86" s="22">
        <v>13.4224</v>
      </c>
      <c r="C86" s="22">
        <v>12.8758</v>
      </c>
      <c r="D86" s="23" t="s">
        <v>80</v>
      </c>
      <c r="E86" s="23" t="s">
        <v>80</v>
      </c>
      <c r="F86" s="23" t="s">
        <v>80</v>
      </c>
      <c r="G86" s="23" t="s">
        <v>80</v>
      </c>
    </row>
    <row r="87" spans="1:7" ht="12.75" x14ac:dyDescent="0.2">
      <c r="A87" s="23" t="s">
        <v>11</v>
      </c>
      <c r="B87" s="22">
        <v>25.745899999999999</v>
      </c>
      <c r="C87" s="22">
        <v>22.343399999999999</v>
      </c>
      <c r="D87" s="23" t="s">
        <v>80</v>
      </c>
      <c r="E87" s="23" t="s">
        <v>80</v>
      </c>
      <c r="F87" s="23" t="s">
        <v>80</v>
      </c>
      <c r="G87" s="26">
        <v>2.27073E-2</v>
      </c>
    </row>
    <row r="88" spans="1:7" ht="12.75" x14ac:dyDescent="0.2">
      <c r="A88" s="23" t="s">
        <v>12</v>
      </c>
      <c r="B88" s="22">
        <v>52.6965</v>
      </c>
      <c r="C88" s="22">
        <v>47.164700000000003</v>
      </c>
      <c r="D88" s="23" t="s">
        <v>80</v>
      </c>
      <c r="E88" s="23" t="s">
        <v>80</v>
      </c>
      <c r="F88" s="26">
        <v>2.7645300000000001E-2</v>
      </c>
      <c r="G88" s="27">
        <v>8.87253E-3</v>
      </c>
    </row>
    <row r="89" spans="1:7" ht="12.75" x14ac:dyDescent="0.2">
      <c r="A89" s="23" t="s">
        <v>13</v>
      </c>
      <c r="B89" s="28">
        <v>100.539</v>
      </c>
      <c r="C89" s="28">
        <v>103.03400000000001</v>
      </c>
      <c r="D89" s="22">
        <v>19.133199999999999</v>
      </c>
      <c r="E89" s="22">
        <v>20.081700000000001</v>
      </c>
      <c r="F89" s="23" t="s">
        <v>80</v>
      </c>
      <c r="G89" s="22">
        <v>14.408099999999999</v>
      </c>
    </row>
    <row r="90" spans="1:7" ht="12.75" x14ac:dyDescent="0.2">
      <c r="A90" s="23" t="s">
        <v>14</v>
      </c>
      <c r="B90" s="28">
        <v>232.08500000000001</v>
      </c>
      <c r="C90" s="28">
        <v>170.625</v>
      </c>
      <c r="D90" s="22">
        <v>30.232500000000002</v>
      </c>
      <c r="E90" s="22">
        <v>33.159799999999997</v>
      </c>
      <c r="F90" s="22">
        <v>38.407800000000002</v>
      </c>
      <c r="G90" s="22">
        <v>41.0794</v>
      </c>
    </row>
    <row r="91" spans="1:7" ht="12.75" x14ac:dyDescent="0.2">
      <c r="A91" s="23" t="s">
        <v>15</v>
      </c>
      <c r="B91" s="22">
        <v>36.015099999999997</v>
      </c>
      <c r="C91" s="23"/>
      <c r="D91" s="22">
        <v>39.989600000000003</v>
      </c>
      <c r="E91" s="22">
        <v>48.587600000000002</v>
      </c>
      <c r="F91" s="22">
        <v>54.928400000000003</v>
      </c>
      <c r="G91" s="22">
        <v>74.387799999999999</v>
      </c>
    </row>
    <row r="92" spans="1:7" ht="12.75" x14ac:dyDescent="0.2"/>
    <row r="93" spans="1:7" ht="12.75" x14ac:dyDescent="0.2">
      <c r="A93" s="23" t="s">
        <v>16</v>
      </c>
      <c r="B93" s="21">
        <v>7</v>
      </c>
      <c r="C93" s="21">
        <v>8</v>
      </c>
      <c r="D93" s="21">
        <v>9</v>
      </c>
      <c r="E93" s="21">
        <v>10</v>
      </c>
      <c r="F93" s="21">
        <v>11</v>
      </c>
      <c r="G93" s="21">
        <v>12</v>
      </c>
    </row>
    <row r="94" spans="1:7" ht="12.75" x14ac:dyDescent="0.2">
      <c r="A94" s="23" t="s">
        <v>8</v>
      </c>
      <c r="B94" s="20" t="s">
        <v>198</v>
      </c>
      <c r="C94" s="20" t="s">
        <v>198</v>
      </c>
      <c r="D94" s="20" t="s">
        <v>199</v>
      </c>
      <c r="E94" s="20" t="s">
        <v>199</v>
      </c>
      <c r="F94" s="20" t="s">
        <v>200</v>
      </c>
      <c r="G94" s="20" t="s">
        <v>200</v>
      </c>
    </row>
    <row r="95" spans="1:7" ht="12.75" x14ac:dyDescent="0.2">
      <c r="A95" s="23" t="s">
        <v>9</v>
      </c>
      <c r="B95" s="20" t="s">
        <v>201</v>
      </c>
      <c r="C95" s="20" t="s">
        <v>201</v>
      </c>
      <c r="D95" s="20" t="s">
        <v>202</v>
      </c>
      <c r="E95" s="20" t="s">
        <v>202</v>
      </c>
      <c r="F95" s="20" t="s">
        <v>203</v>
      </c>
      <c r="G95" s="20" t="s">
        <v>203</v>
      </c>
    </row>
    <row r="96" spans="1:7" ht="12.75" x14ac:dyDescent="0.2">
      <c r="A96" s="23" t="s">
        <v>10</v>
      </c>
      <c r="B96" s="20" t="s">
        <v>204</v>
      </c>
      <c r="C96" s="20" t="s">
        <v>204</v>
      </c>
      <c r="D96" s="20" t="s">
        <v>205</v>
      </c>
      <c r="E96" s="20" t="s">
        <v>205</v>
      </c>
      <c r="F96" s="20" t="s">
        <v>206</v>
      </c>
      <c r="G96" s="20" t="s">
        <v>206</v>
      </c>
    </row>
    <row r="97" spans="1:7" ht="12.75" x14ac:dyDescent="0.2">
      <c r="A97" s="23" t="s">
        <v>11</v>
      </c>
      <c r="B97" s="20" t="s">
        <v>207</v>
      </c>
      <c r="C97" s="20" t="s">
        <v>207</v>
      </c>
      <c r="D97" s="20" t="s">
        <v>208</v>
      </c>
      <c r="E97" s="20" t="s">
        <v>209</v>
      </c>
      <c r="F97" s="20" t="s">
        <v>210</v>
      </c>
      <c r="G97" s="20" t="s">
        <v>210</v>
      </c>
    </row>
    <row r="98" spans="1:7" ht="12.75" x14ac:dyDescent="0.2">
      <c r="A98" s="23" t="s">
        <v>12</v>
      </c>
      <c r="B98" s="20" t="s">
        <v>211</v>
      </c>
      <c r="C98" s="20" t="s">
        <v>211</v>
      </c>
      <c r="D98" s="20" t="s">
        <v>212</v>
      </c>
      <c r="E98" s="20" t="s">
        <v>213</v>
      </c>
      <c r="F98" s="20" t="s">
        <v>214</v>
      </c>
      <c r="G98" s="20" t="s">
        <v>214</v>
      </c>
    </row>
    <row r="99" spans="1:7" ht="12.75" x14ac:dyDescent="0.2">
      <c r="A99" s="23" t="s">
        <v>13</v>
      </c>
      <c r="B99" s="20" t="s">
        <v>215</v>
      </c>
      <c r="C99" s="20" t="s">
        <v>215</v>
      </c>
      <c r="D99" s="20" t="s">
        <v>216</v>
      </c>
      <c r="E99" s="20" t="s">
        <v>216</v>
      </c>
      <c r="F99" s="20" t="s">
        <v>217</v>
      </c>
      <c r="G99" s="20" t="s">
        <v>218</v>
      </c>
    </row>
    <row r="100" spans="1:7" ht="12.75" x14ac:dyDescent="0.2">
      <c r="A100" s="23" t="s">
        <v>14</v>
      </c>
      <c r="B100" s="20" t="s">
        <v>219</v>
      </c>
      <c r="C100" s="20" t="s">
        <v>219</v>
      </c>
      <c r="D100" s="20" t="s">
        <v>220</v>
      </c>
      <c r="E100" s="20" t="s">
        <v>220</v>
      </c>
      <c r="F100" s="20" t="s">
        <v>221</v>
      </c>
      <c r="G100" s="20" t="s">
        <v>221</v>
      </c>
    </row>
    <row r="101" spans="1:7" ht="12.75" x14ac:dyDescent="0.2">
      <c r="A101" s="23" t="s">
        <v>15</v>
      </c>
      <c r="B101" s="20" t="s">
        <v>243</v>
      </c>
      <c r="C101" s="20" t="s">
        <v>222</v>
      </c>
      <c r="D101" s="20" t="s">
        <v>223</v>
      </c>
      <c r="E101" s="20" t="s">
        <v>223</v>
      </c>
      <c r="F101" s="20" t="s">
        <v>224</v>
      </c>
      <c r="G101" s="20" t="s">
        <v>224</v>
      </c>
    </row>
    <row r="103" spans="1:7" ht="12.75" x14ac:dyDescent="0.2">
      <c r="A103" t="s">
        <v>81</v>
      </c>
    </row>
    <row r="104" spans="1:7" ht="15" customHeight="1" x14ac:dyDescent="0.2">
      <c r="F104" s="38" t="s">
        <v>248</v>
      </c>
      <c r="G104" s="38"/>
    </row>
    <row r="105" spans="1:7" ht="15" customHeight="1" x14ac:dyDescent="0.2">
      <c r="F105" s="39" t="s">
        <v>249</v>
      </c>
      <c r="G105" s="39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Blank Subtraction 1_03"/>
  <dimension ref="A1:M34"/>
  <sheetViews>
    <sheetView workbookViewId="0">
      <selection activeCell="L33" sqref="L33:M34"/>
    </sheetView>
  </sheetViews>
  <sheetFormatPr defaultColWidth="9.140625" defaultRowHeight="15" customHeight="1" x14ac:dyDescent="0.2"/>
  <cols>
    <col min="1" max="1" width="26.42578125" customWidth="1"/>
    <col min="2" max="7" width="3.140625" customWidth="1"/>
    <col min="8" max="9" width="18.28515625" customWidth="1"/>
    <col min="10" max="13" width="18.8554687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82</v>
      </c>
    </row>
    <row r="9" spans="1:13" ht="15" customHeight="1" x14ac:dyDescent="0.2">
      <c r="A9" t="s">
        <v>5</v>
      </c>
    </row>
    <row r="10" spans="1:13" ht="15" customHeight="1" x14ac:dyDescent="0.2">
      <c r="A10" t="s">
        <v>3</v>
      </c>
    </row>
    <row r="11" spans="1:13" ht="15" customHeight="1" x14ac:dyDescent="0.2">
      <c r="A11" t="s">
        <v>6</v>
      </c>
    </row>
    <row r="12" spans="1:13" ht="15" customHeight="1" x14ac:dyDescent="0.2">
      <c r="A12" t="s">
        <v>3</v>
      </c>
    </row>
    <row r="13" spans="1:13" ht="15" customHeight="1" x14ac:dyDescent="0.2">
      <c r="A13" t="s">
        <v>83</v>
      </c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21">
        <v>7</v>
      </c>
      <c r="I13" s="21">
        <v>8</v>
      </c>
      <c r="J13" s="21">
        <v>9</v>
      </c>
      <c r="K13" s="21">
        <v>10</v>
      </c>
      <c r="L13" s="21">
        <v>11</v>
      </c>
      <c r="M13" s="21">
        <v>12</v>
      </c>
    </row>
    <row r="14" spans="1:13" ht="15" customHeight="1" x14ac:dyDescent="0.2">
      <c r="A14" t="s">
        <v>8</v>
      </c>
      <c r="H14" s="24">
        <v>0.180116</v>
      </c>
      <c r="I14" s="24">
        <v>0.16106799999999999</v>
      </c>
      <c r="J14" s="26">
        <v>-1.9532000000000001E-2</v>
      </c>
      <c r="K14" s="26">
        <v>-1.2586999999999999E-2</v>
      </c>
      <c r="L14" s="25">
        <v>1.10849</v>
      </c>
      <c r="M14" s="25">
        <v>1.08456</v>
      </c>
    </row>
    <row r="15" spans="1:13" ht="15" customHeight="1" x14ac:dyDescent="0.2">
      <c r="A15" t="s">
        <v>9</v>
      </c>
      <c r="H15" s="24">
        <v>0.306199</v>
      </c>
      <c r="I15" s="24">
        <v>0.29559999999999997</v>
      </c>
      <c r="J15" s="26">
        <v>-3.8653E-2</v>
      </c>
      <c r="K15" s="26">
        <v>-4.0485E-2</v>
      </c>
      <c r="L15" s="26">
        <v>-7.0725999999999997E-2</v>
      </c>
      <c r="M15" s="26">
        <v>-6.9265999999999994E-2</v>
      </c>
    </row>
    <row r="16" spans="1:13" ht="15" customHeight="1" x14ac:dyDescent="0.2">
      <c r="A16" t="s">
        <v>10</v>
      </c>
      <c r="H16" s="24">
        <v>0.50654600000000005</v>
      </c>
      <c r="I16" s="24">
        <v>0.49308600000000002</v>
      </c>
      <c r="J16" s="26">
        <v>-4.4379000000000002E-2</v>
      </c>
      <c r="K16" s="26">
        <v>-3.0165000000000001E-2</v>
      </c>
      <c r="L16" s="26">
        <v>-4.8037000000000003E-2</v>
      </c>
      <c r="M16" s="26">
        <v>-4.9203999999999998E-2</v>
      </c>
    </row>
    <row r="17" spans="1:13" ht="15" customHeight="1" x14ac:dyDescent="0.2">
      <c r="A17" t="s">
        <v>11</v>
      </c>
      <c r="H17" s="24">
        <v>0.751637</v>
      </c>
      <c r="I17" s="24">
        <v>0.69291599999999998</v>
      </c>
      <c r="J17" s="26">
        <v>-3.6642000000000001E-2</v>
      </c>
      <c r="K17" s="26">
        <v>-3.5784999999999997E-2</v>
      </c>
      <c r="L17" s="26">
        <v>-3.5159999999999997E-2</v>
      </c>
      <c r="M17" s="26">
        <v>-2.1659999999999999E-2</v>
      </c>
    </row>
    <row r="18" spans="1:13" ht="15" customHeight="1" x14ac:dyDescent="0.2">
      <c r="A18" t="s">
        <v>12</v>
      </c>
      <c r="H18" s="25">
        <v>1.08694</v>
      </c>
      <c r="I18" s="25">
        <v>1.0315399999999999</v>
      </c>
      <c r="J18" s="26">
        <v>-4.2518E-2</v>
      </c>
      <c r="K18" s="26">
        <v>-2.9071E-2</v>
      </c>
      <c r="L18" s="26">
        <v>-2.0830000000000001E-2</v>
      </c>
      <c r="M18" s="26">
        <v>-2.4289000000000002E-2</v>
      </c>
    </row>
    <row r="19" spans="1:13" ht="15" customHeight="1" x14ac:dyDescent="0.2">
      <c r="A19" t="s">
        <v>13</v>
      </c>
      <c r="H19" s="25">
        <v>1.4212899999999999</v>
      </c>
      <c r="I19" s="25">
        <v>1.4340599999999999</v>
      </c>
      <c r="J19" s="24">
        <v>0.63202999999999998</v>
      </c>
      <c r="K19" s="24">
        <v>0.65063800000000005</v>
      </c>
      <c r="L19" s="26">
        <v>-2.7439999999999999E-2</v>
      </c>
      <c r="M19" s="24">
        <v>0.53009600000000001</v>
      </c>
    </row>
    <row r="20" spans="1:13" ht="15" customHeight="1" x14ac:dyDescent="0.2">
      <c r="A20" t="s">
        <v>14</v>
      </c>
      <c r="H20" s="25">
        <v>1.8362700000000001</v>
      </c>
      <c r="I20" s="25">
        <v>1.69041</v>
      </c>
      <c r="J20" s="24">
        <v>0.82157199999999997</v>
      </c>
      <c r="K20" s="24">
        <v>0.86334200000000005</v>
      </c>
      <c r="L20" s="24">
        <v>0.93187200000000003</v>
      </c>
      <c r="M20" s="24">
        <v>0.96404199999999995</v>
      </c>
    </row>
    <row r="21" spans="1:13" ht="15" customHeight="1" x14ac:dyDescent="0.2">
      <c r="A21" t="s">
        <v>15</v>
      </c>
      <c r="H21" s="24">
        <v>0.90156199999999997</v>
      </c>
      <c r="I21" s="31">
        <v>0</v>
      </c>
      <c r="J21" s="24">
        <v>0.95112200000000002</v>
      </c>
      <c r="K21" s="25">
        <v>1.0462899999999999</v>
      </c>
      <c r="L21" s="25">
        <v>1.1079000000000001</v>
      </c>
      <c r="M21" s="25">
        <v>1.2640199999999999</v>
      </c>
    </row>
    <row r="23" spans="1:13" ht="15" customHeight="1" x14ac:dyDescent="0.2">
      <c r="A23" t="s">
        <v>16</v>
      </c>
      <c r="B23" s="1">
        <v>1</v>
      </c>
      <c r="C23" s="1">
        <v>2</v>
      </c>
      <c r="D23" s="1">
        <v>3</v>
      </c>
      <c r="E23" s="1">
        <v>4</v>
      </c>
      <c r="F23" s="1">
        <v>5</v>
      </c>
      <c r="G23" s="1">
        <v>6</v>
      </c>
      <c r="H23" s="1">
        <v>7</v>
      </c>
      <c r="I23" s="1">
        <v>8</v>
      </c>
      <c r="J23" s="1">
        <v>9</v>
      </c>
      <c r="K23" s="1">
        <v>10</v>
      </c>
      <c r="L23" s="1">
        <v>11</v>
      </c>
      <c r="M23" s="1">
        <v>12</v>
      </c>
    </row>
    <row r="24" spans="1:13" ht="15" customHeight="1" x14ac:dyDescent="0.2">
      <c r="A24" t="s">
        <v>8</v>
      </c>
      <c r="H24" s="20" t="s">
        <v>198</v>
      </c>
      <c r="I24" s="20" t="s">
        <v>198</v>
      </c>
      <c r="J24" s="20" t="s">
        <v>199</v>
      </c>
      <c r="K24" s="20" t="s">
        <v>199</v>
      </c>
      <c r="L24" s="20" t="s">
        <v>200</v>
      </c>
      <c r="M24" s="20" t="s">
        <v>200</v>
      </c>
    </row>
    <row r="25" spans="1:13" ht="15" customHeight="1" x14ac:dyDescent="0.2">
      <c r="A25" t="s">
        <v>9</v>
      </c>
      <c r="H25" s="20" t="s">
        <v>201</v>
      </c>
      <c r="I25" s="20" t="s">
        <v>201</v>
      </c>
      <c r="J25" s="20" t="s">
        <v>202</v>
      </c>
      <c r="K25" s="20" t="s">
        <v>202</v>
      </c>
      <c r="L25" s="20" t="s">
        <v>203</v>
      </c>
      <c r="M25" s="20" t="s">
        <v>203</v>
      </c>
    </row>
    <row r="26" spans="1:13" ht="15" customHeight="1" x14ac:dyDescent="0.2">
      <c r="A26" t="s">
        <v>10</v>
      </c>
      <c r="H26" s="20" t="s">
        <v>204</v>
      </c>
      <c r="I26" s="20" t="s">
        <v>204</v>
      </c>
      <c r="J26" s="20" t="s">
        <v>205</v>
      </c>
      <c r="K26" s="20" t="s">
        <v>205</v>
      </c>
      <c r="L26" s="20" t="s">
        <v>206</v>
      </c>
      <c r="M26" s="20" t="s">
        <v>206</v>
      </c>
    </row>
    <row r="27" spans="1:13" ht="15" customHeight="1" x14ac:dyDescent="0.2">
      <c r="A27" t="s">
        <v>11</v>
      </c>
      <c r="H27" s="20" t="s">
        <v>207</v>
      </c>
      <c r="I27" s="20" t="s">
        <v>207</v>
      </c>
      <c r="J27" s="20" t="s">
        <v>208</v>
      </c>
      <c r="K27" s="20" t="s">
        <v>209</v>
      </c>
      <c r="L27" s="20" t="s">
        <v>210</v>
      </c>
      <c r="M27" s="20" t="s">
        <v>210</v>
      </c>
    </row>
    <row r="28" spans="1:13" ht="15" customHeight="1" x14ac:dyDescent="0.2">
      <c r="A28" t="s">
        <v>12</v>
      </c>
      <c r="H28" s="20" t="s">
        <v>211</v>
      </c>
      <c r="I28" s="20" t="s">
        <v>211</v>
      </c>
      <c r="J28" s="20" t="s">
        <v>212</v>
      </c>
      <c r="K28" s="20" t="s">
        <v>213</v>
      </c>
      <c r="L28" s="20" t="s">
        <v>214</v>
      </c>
      <c r="M28" s="20" t="s">
        <v>214</v>
      </c>
    </row>
    <row r="29" spans="1:13" ht="15" customHeight="1" x14ac:dyDescent="0.2">
      <c r="A29" t="s">
        <v>13</v>
      </c>
      <c r="H29" s="20" t="s">
        <v>215</v>
      </c>
      <c r="I29" s="20" t="s">
        <v>215</v>
      </c>
      <c r="J29" s="20" t="s">
        <v>216</v>
      </c>
      <c r="K29" s="20" t="s">
        <v>216</v>
      </c>
      <c r="L29" s="20" t="s">
        <v>217</v>
      </c>
      <c r="M29" s="20" t="s">
        <v>218</v>
      </c>
    </row>
    <row r="30" spans="1:13" ht="15" customHeight="1" x14ac:dyDescent="0.2">
      <c r="A30" t="s">
        <v>14</v>
      </c>
      <c r="H30" s="20" t="s">
        <v>219</v>
      </c>
      <c r="I30" s="20" t="s">
        <v>219</v>
      </c>
      <c r="J30" s="20" t="s">
        <v>220</v>
      </c>
      <c r="K30" s="20" t="s">
        <v>220</v>
      </c>
      <c r="L30" s="20" t="s">
        <v>221</v>
      </c>
      <c r="M30" s="20" t="s">
        <v>221</v>
      </c>
    </row>
    <row r="31" spans="1:13" ht="15" customHeight="1" x14ac:dyDescent="0.2">
      <c r="A31" t="s">
        <v>15</v>
      </c>
      <c r="H31" s="20" t="s">
        <v>243</v>
      </c>
      <c r="I31" s="20" t="s">
        <v>222</v>
      </c>
      <c r="J31" s="20" t="s">
        <v>223</v>
      </c>
      <c r="K31" s="20" t="s">
        <v>223</v>
      </c>
      <c r="L31" s="20" t="s">
        <v>224</v>
      </c>
      <c r="M31" s="20" t="s">
        <v>224</v>
      </c>
    </row>
    <row r="33" spans="1:13" ht="15" customHeight="1" x14ac:dyDescent="0.2">
      <c r="A33" t="s">
        <v>84</v>
      </c>
      <c r="L33" s="38" t="s">
        <v>248</v>
      </c>
      <c r="M33" s="38"/>
    </row>
    <row r="34" spans="1:13" ht="15" customHeight="1" x14ac:dyDescent="0.2">
      <c r="L34" s="39" t="s">
        <v>249</v>
      </c>
      <c r="M34" s="3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tandard Curve 2_04"/>
  <dimension ref="A1:Q104"/>
  <sheetViews>
    <sheetView tabSelected="1" topLeftCell="A67" workbookViewId="0">
      <selection activeCell="F103" sqref="F103:G104"/>
    </sheetView>
  </sheetViews>
  <sheetFormatPr defaultColWidth="9.140625" defaultRowHeight="15" customHeight="1" x14ac:dyDescent="0.2"/>
  <cols>
    <col min="1" max="1" width="16.42578125" customWidth="1"/>
    <col min="2" max="3" width="19.7109375" customWidth="1"/>
    <col min="4" max="7" width="18.7109375" customWidth="1"/>
    <col min="8" max="8" width="10.42578125" customWidth="1"/>
    <col min="9" max="9" width="19.42578125" customWidth="1"/>
    <col min="10" max="12" width="12" customWidth="1"/>
    <col min="13" max="13" width="12.42578125" customWidth="1"/>
    <col min="14" max="15" width="13" customWidth="1"/>
    <col min="16" max="16" width="15.5703125" customWidth="1"/>
    <col min="17" max="17" width="16.8554687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1</v>
      </c>
    </row>
    <row r="3" spans="1:1" ht="15" customHeight="1" x14ac:dyDescent="0.2">
      <c r="A3" t="s">
        <v>2</v>
      </c>
    </row>
    <row r="4" spans="1:1" ht="15" customHeight="1" x14ac:dyDescent="0.2">
      <c r="A4" t="s">
        <v>3</v>
      </c>
    </row>
    <row r="5" spans="1:1" ht="15" customHeight="1" x14ac:dyDescent="0.2">
      <c r="A5" t="s">
        <v>85</v>
      </c>
    </row>
    <row r="7" spans="1:1" ht="15" customHeight="1" x14ac:dyDescent="0.2">
      <c r="A7" t="s">
        <v>45</v>
      </c>
    </row>
    <row r="8" spans="1:1" ht="15" customHeight="1" x14ac:dyDescent="0.2">
      <c r="A8" t="s">
        <v>46</v>
      </c>
    </row>
    <row r="9" spans="1:1" ht="15" customHeight="1" x14ac:dyDescent="0.2">
      <c r="A9" t="s">
        <v>47</v>
      </c>
    </row>
    <row r="10" spans="1:1" ht="15" customHeight="1" x14ac:dyDescent="0.2">
      <c r="A10" t="s">
        <v>5</v>
      </c>
    </row>
    <row r="11" spans="1:1" ht="15" customHeight="1" x14ac:dyDescent="0.2">
      <c r="A11" t="s">
        <v>48</v>
      </c>
    </row>
    <row r="12" spans="1:1" ht="15" customHeight="1" x14ac:dyDescent="0.2">
      <c r="A12" t="s">
        <v>49</v>
      </c>
    </row>
    <row r="13" spans="1:1" ht="15" customHeight="1" x14ac:dyDescent="0.2">
      <c r="A13" t="s">
        <v>3</v>
      </c>
    </row>
    <row r="15" spans="1:1" ht="15" customHeight="1" x14ac:dyDescent="0.2">
      <c r="A15" t="s">
        <v>3</v>
      </c>
    </row>
    <row r="36" spans="1:7" ht="15" customHeight="1" x14ac:dyDescent="0.2">
      <c r="A36" t="s">
        <v>86</v>
      </c>
    </row>
    <row r="38" spans="1:7" ht="15" customHeight="1" x14ac:dyDescent="0.2">
      <c r="A38" t="s">
        <v>51</v>
      </c>
    </row>
    <row r="39" spans="1:7" ht="12.75" x14ac:dyDescent="0.2">
      <c r="A39" t="s">
        <v>52</v>
      </c>
    </row>
    <row r="40" spans="1:7" ht="12.75" x14ac:dyDescent="0.2">
      <c r="A40" t="s">
        <v>53</v>
      </c>
      <c r="B40" s="8">
        <v>-2.6813199999999999E-2</v>
      </c>
    </row>
    <row r="41" spans="1:7" ht="12.75" x14ac:dyDescent="0.2">
      <c r="A41" t="s">
        <v>54</v>
      </c>
      <c r="B41" s="3">
        <v>0.76048300000000002</v>
      </c>
    </row>
    <row r="42" spans="1:7" ht="12.75" x14ac:dyDescent="0.2">
      <c r="A42" t="s">
        <v>55</v>
      </c>
      <c r="B42" s="4">
        <v>87.3142</v>
      </c>
    </row>
    <row r="43" spans="1:7" ht="12.75" x14ac:dyDescent="0.2">
      <c r="A43" t="s">
        <v>56</v>
      </c>
      <c r="B43" s="5">
        <v>2.7221199999999999</v>
      </c>
    </row>
    <row r="44" spans="1:7" ht="12.75" x14ac:dyDescent="0.2"/>
    <row r="45" spans="1:7" ht="12.75" x14ac:dyDescent="0.2">
      <c r="A45" t="s">
        <v>57</v>
      </c>
    </row>
    <row r="46" spans="1:7" ht="12.75" x14ac:dyDescent="0.2">
      <c r="A46" t="s">
        <v>3</v>
      </c>
    </row>
    <row r="47" spans="1:7" ht="12.75" x14ac:dyDescent="0.2">
      <c r="A47" t="s">
        <v>58</v>
      </c>
      <c r="B47" t="s">
        <v>16</v>
      </c>
      <c r="C47" t="s">
        <v>59</v>
      </c>
      <c r="D47" t="s">
        <v>60</v>
      </c>
      <c r="E47" t="s">
        <v>61</v>
      </c>
      <c r="F47" t="s">
        <v>62</v>
      </c>
      <c r="G47" t="s">
        <v>63</v>
      </c>
    </row>
    <row r="48" spans="1:7" ht="12.75" x14ac:dyDescent="0.2">
      <c r="A48" t="s">
        <v>64</v>
      </c>
      <c r="B48" t="s">
        <v>35</v>
      </c>
      <c r="C48" s="6">
        <v>200</v>
      </c>
      <c r="D48" s="5">
        <v>1.7633399999999999</v>
      </c>
      <c r="E48" s="5">
        <v>5.8490399999999996</v>
      </c>
      <c r="F48" s="5">
        <v>1.76702</v>
      </c>
      <c r="G48" s="7">
        <v>-3.6786000000000002E-3</v>
      </c>
    </row>
    <row r="49" spans="1:7" ht="12.75" x14ac:dyDescent="0.2">
      <c r="A49" t="s">
        <v>65</v>
      </c>
      <c r="B49" t="s">
        <v>35</v>
      </c>
      <c r="C49" s="6">
        <v>200</v>
      </c>
      <c r="D49" s="5">
        <v>1.8362700000000001</v>
      </c>
      <c r="F49" s="5">
        <v>1.76702</v>
      </c>
      <c r="G49" s="8">
        <v>6.9251400000000005E-2</v>
      </c>
    </row>
    <row r="50" spans="1:7" ht="12.75" x14ac:dyDescent="0.2">
      <c r="A50" t="s">
        <v>66</v>
      </c>
      <c r="B50" t="s">
        <v>35</v>
      </c>
      <c r="C50" s="6">
        <v>200</v>
      </c>
      <c r="D50" s="5">
        <v>1.69041</v>
      </c>
      <c r="F50" s="5">
        <v>1.76702</v>
      </c>
      <c r="G50" s="8">
        <v>-7.6608599999999999E-2</v>
      </c>
    </row>
    <row r="51" spans="1:7" ht="12.75" x14ac:dyDescent="0.2">
      <c r="A51" t="s">
        <v>64</v>
      </c>
      <c r="B51" t="s">
        <v>32</v>
      </c>
      <c r="C51" s="6">
        <v>100</v>
      </c>
      <c r="D51" s="5">
        <v>1.4276800000000001</v>
      </c>
      <c r="E51" s="3">
        <v>0.63247900000000001</v>
      </c>
      <c r="F51" s="5">
        <v>1.41849</v>
      </c>
      <c r="G51" s="7">
        <v>9.1863299999999995E-3</v>
      </c>
    </row>
    <row r="52" spans="1:7" ht="12.75" x14ac:dyDescent="0.2">
      <c r="A52" t="s">
        <v>67</v>
      </c>
      <c r="B52" t="s">
        <v>32</v>
      </c>
      <c r="C52" s="6">
        <v>100</v>
      </c>
      <c r="D52" s="5">
        <v>1.4212899999999999</v>
      </c>
      <c r="F52" s="5">
        <v>1.41849</v>
      </c>
      <c r="G52" s="7">
        <v>2.8013299999999999E-3</v>
      </c>
    </row>
    <row r="53" spans="1:7" ht="12.75" x14ac:dyDescent="0.2">
      <c r="A53" t="s">
        <v>68</v>
      </c>
      <c r="B53" t="s">
        <v>32</v>
      </c>
      <c r="C53" s="6">
        <v>100</v>
      </c>
      <c r="D53" s="5">
        <v>1.4340599999999999</v>
      </c>
      <c r="F53" s="5">
        <v>1.41849</v>
      </c>
      <c r="G53" s="8">
        <v>1.55713E-2</v>
      </c>
    </row>
    <row r="54" spans="1:7" ht="12.75" x14ac:dyDescent="0.2">
      <c r="A54" t="s">
        <v>64</v>
      </c>
      <c r="B54" t="s">
        <v>29</v>
      </c>
      <c r="C54" s="4">
        <v>50</v>
      </c>
      <c r="D54" s="5">
        <v>1.05924</v>
      </c>
      <c r="E54" s="5">
        <v>3.69828</v>
      </c>
      <c r="F54" s="5">
        <v>1.0605800000000001</v>
      </c>
      <c r="G54" s="7">
        <v>-1.33921E-3</v>
      </c>
    </row>
    <row r="55" spans="1:7" ht="12.75" x14ac:dyDescent="0.2">
      <c r="A55" t="s">
        <v>69</v>
      </c>
      <c r="B55" t="s">
        <v>29</v>
      </c>
      <c r="C55" s="4">
        <v>50</v>
      </c>
      <c r="D55" s="5">
        <v>1.08694</v>
      </c>
      <c r="F55" s="5">
        <v>1.0605800000000001</v>
      </c>
      <c r="G55" s="8">
        <v>2.63608E-2</v>
      </c>
    </row>
    <row r="56" spans="1:7" ht="12.75" x14ac:dyDescent="0.2">
      <c r="A56" t="s">
        <v>70</v>
      </c>
      <c r="B56" t="s">
        <v>29</v>
      </c>
      <c r="C56" s="4">
        <v>50</v>
      </c>
      <c r="D56" s="5">
        <v>1.0315399999999999</v>
      </c>
      <c r="F56" s="5">
        <v>1.0605800000000001</v>
      </c>
      <c r="G56" s="8">
        <v>-2.9039200000000001E-2</v>
      </c>
    </row>
    <row r="57" spans="1:7" ht="12.75" x14ac:dyDescent="0.2">
      <c r="A57" t="s">
        <v>64</v>
      </c>
      <c r="B57" t="s">
        <v>26</v>
      </c>
      <c r="C57" s="4">
        <v>25</v>
      </c>
      <c r="D57" s="3">
        <v>0.72227699999999995</v>
      </c>
      <c r="E57" s="5">
        <v>5.7487700000000004</v>
      </c>
      <c r="F57" s="3">
        <v>0.73922200000000005</v>
      </c>
      <c r="G57" s="8">
        <v>-1.6945399999999999E-2</v>
      </c>
    </row>
    <row r="58" spans="1:7" ht="12.75" x14ac:dyDescent="0.2">
      <c r="A58" t="s">
        <v>71</v>
      </c>
      <c r="B58" t="s">
        <v>26</v>
      </c>
      <c r="C58" s="4">
        <v>25</v>
      </c>
      <c r="D58" s="3">
        <v>0.751637</v>
      </c>
      <c r="F58" s="3">
        <v>0.73922200000000005</v>
      </c>
      <c r="G58" s="8">
        <v>1.24151E-2</v>
      </c>
    </row>
    <row r="59" spans="1:7" ht="12.75" x14ac:dyDescent="0.2">
      <c r="A59" t="s">
        <v>72</v>
      </c>
      <c r="B59" t="s">
        <v>26</v>
      </c>
      <c r="C59" s="4">
        <v>25</v>
      </c>
      <c r="D59" s="3">
        <v>0.69291599999999998</v>
      </c>
      <c r="F59" s="3">
        <v>0.73922200000000005</v>
      </c>
      <c r="G59" s="8">
        <v>-4.6305899999999997E-2</v>
      </c>
    </row>
    <row r="60" spans="1:7" ht="12.75" x14ac:dyDescent="0.2">
      <c r="A60" t="s">
        <v>64</v>
      </c>
      <c r="B60" t="s">
        <v>23</v>
      </c>
      <c r="C60" s="4">
        <v>12.5</v>
      </c>
      <c r="D60" s="3">
        <v>0.49981599999999998</v>
      </c>
      <c r="E60" s="5">
        <v>1.9042300000000001</v>
      </c>
      <c r="F60" s="3">
        <v>0.483657</v>
      </c>
      <c r="G60" s="8">
        <v>1.61595E-2</v>
      </c>
    </row>
    <row r="61" spans="1:7" ht="12.75" x14ac:dyDescent="0.2">
      <c r="A61" t="s">
        <v>73</v>
      </c>
      <c r="B61" t="s">
        <v>23</v>
      </c>
      <c r="C61" s="4">
        <v>12.5</v>
      </c>
      <c r="D61" s="3">
        <v>0.50654600000000005</v>
      </c>
      <c r="F61" s="3">
        <v>0.483657</v>
      </c>
      <c r="G61" s="8">
        <v>2.28895E-2</v>
      </c>
    </row>
    <row r="62" spans="1:7" ht="12.75" x14ac:dyDescent="0.2">
      <c r="A62" t="s">
        <v>74</v>
      </c>
      <c r="B62" t="s">
        <v>23</v>
      </c>
      <c r="C62" s="4">
        <v>12.5</v>
      </c>
      <c r="D62" s="3">
        <v>0.49308600000000002</v>
      </c>
      <c r="F62" s="3">
        <v>0.483657</v>
      </c>
      <c r="G62" s="7">
        <v>9.4294600000000006E-3</v>
      </c>
    </row>
    <row r="63" spans="1:7" ht="12.75" x14ac:dyDescent="0.2">
      <c r="A63" t="s">
        <v>64</v>
      </c>
      <c r="B63" t="s">
        <v>20</v>
      </c>
      <c r="C63" s="5">
        <v>6.25</v>
      </c>
      <c r="D63" s="3">
        <v>0.3009</v>
      </c>
      <c r="E63" s="5">
        <v>2.4907400000000002</v>
      </c>
      <c r="F63" s="3">
        <v>0.29932900000000001</v>
      </c>
      <c r="G63" s="7">
        <v>1.57004E-3</v>
      </c>
    </row>
    <row r="64" spans="1:7" ht="12.75" x14ac:dyDescent="0.2">
      <c r="A64" t="s">
        <v>75</v>
      </c>
      <c r="B64" t="s">
        <v>20</v>
      </c>
      <c r="C64" s="5">
        <v>6.25</v>
      </c>
      <c r="D64" s="3">
        <v>0.306199</v>
      </c>
      <c r="F64" s="3">
        <v>0.29932900000000001</v>
      </c>
      <c r="G64" s="7">
        <v>6.8695400000000004E-3</v>
      </c>
    </row>
    <row r="65" spans="1:12" ht="12.75" x14ac:dyDescent="0.2">
      <c r="A65" t="s">
        <v>76</v>
      </c>
      <c r="B65" t="s">
        <v>20</v>
      </c>
      <c r="C65" s="5">
        <v>6.25</v>
      </c>
      <c r="D65" s="3">
        <v>0.29559999999999997</v>
      </c>
      <c r="F65" s="3">
        <v>0.29932900000000001</v>
      </c>
      <c r="G65" s="7">
        <v>-3.72946E-3</v>
      </c>
    </row>
    <row r="66" spans="1:12" ht="12.75" x14ac:dyDescent="0.2">
      <c r="A66" t="s">
        <v>64</v>
      </c>
      <c r="B66" t="s">
        <v>17</v>
      </c>
      <c r="C66" s="5">
        <v>3.125</v>
      </c>
      <c r="D66" s="3">
        <v>0.17059199999999999</v>
      </c>
      <c r="E66" s="5">
        <v>7.8954300000000002</v>
      </c>
      <c r="F66" s="3">
        <v>0.17554500000000001</v>
      </c>
      <c r="G66" s="7">
        <v>-4.9526300000000004E-3</v>
      </c>
    </row>
    <row r="67" spans="1:12" ht="12.75" x14ac:dyDescent="0.2">
      <c r="A67" t="s">
        <v>77</v>
      </c>
      <c r="B67" t="s">
        <v>17</v>
      </c>
      <c r="C67" s="5">
        <v>3.125</v>
      </c>
      <c r="D67" s="3">
        <v>0.180116</v>
      </c>
      <c r="F67" s="3">
        <v>0.17554500000000001</v>
      </c>
      <c r="G67" s="7">
        <v>4.5713699999999999E-3</v>
      </c>
    </row>
    <row r="68" spans="1:12" ht="12.75" x14ac:dyDescent="0.2">
      <c r="A68" t="s">
        <v>78</v>
      </c>
      <c r="B68" t="s">
        <v>17</v>
      </c>
      <c r="C68" s="5">
        <v>3.125</v>
      </c>
      <c r="D68" s="3">
        <v>0.16106799999999999</v>
      </c>
      <c r="F68" s="3">
        <v>0.17554500000000001</v>
      </c>
      <c r="G68" s="8">
        <v>-1.4476599999999999E-2</v>
      </c>
    </row>
    <row r="69" spans="1:12" ht="12.75" x14ac:dyDescent="0.2"/>
    <row r="70" spans="1:12" ht="12.75" x14ac:dyDescent="0.2"/>
    <row r="71" spans="1:12" ht="12.75" x14ac:dyDescent="0.2">
      <c r="A71" t="s">
        <v>6</v>
      </c>
    </row>
    <row r="72" spans="1:12" ht="12.75" x14ac:dyDescent="0.2">
      <c r="A72" t="s">
        <v>3</v>
      </c>
      <c r="J72" s="34" t="s">
        <v>225</v>
      </c>
      <c r="K72" s="34"/>
    </row>
    <row r="73" spans="1:12" ht="12.75" x14ac:dyDescent="0.2">
      <c r="A73" s="23" t="s">
        <v>79</v>
      </c>
      <c r="B73" s="21">
        <v>7</v>
      </c>
      <c r="C73" s="21">
        <v>8</v>
      </c>
      <c r="D73" s="21">
        <v>9</v>
      </c>
      <c r="E73" s="21">
        <v>10</v>
      </c>
      <c r="F73" s="21">
        <v>11</v>
      </c>
      <c r="G73" s="21">
        <v>12</v>
      </c>
      <c r="I73" s="20" t="s">
        <v>226</v>
      </c>
      <c r="J73" s="23" t="s">
        <v>227</v>
      </c>
      <c r="K73" s="23" t="s">
        <v>228</v>
      </c>
      <c r="L73" s="23" t="s">
        <v>229</v>
      </c>
    </row>
    <row r="74" spans="1:12" ht="12.75" x14ac:dyDescent="0.2">
      <c r="A74" s="23" t="s">
        <v>8</v>
      </c>
      <c r="B74" s="24">
        <v>0.180116</v>
      </c>
      <c r="C74" s="24">
        <v>0.16106799999999999</v>
      </c>
      <c r="D74" s="26">
        <v>-1.9532000000000001E-2</v>
      </c>
      <c r="E74" s="26">
        <v>-1.2586999999999999E-2</v>
      </c>
      <c r="F74" s="25">
        <v>1.10849</v>
      </c>
      <c r="G74" s="25">
        <v>1.08456</v>
      </c>
      <c r="I74" s="20">
        <v>1</v>
      </c>
      <c r="J74" s="20" t="s">
        <v>230</v>
      </c>
      <c r="K74" s="23" t="e">
        <f>I74*J74</f>
        <v>#VALUE!</v>
      </c>
      <c r="L74" s="23"/>
    </row>
    <row r="75" spans="1:12" ht="12.75" x14ac:dyDescent="0.2">
      <c r="A75" s="23" t="s">
        <v>9</v>
      </c>
      <c r="B75" s="24">
        <v>0.306199</v>
      </c>
      <c r="C75" s="24">
        <v>0.29559999999999997</v>
      </c>
      <c r="D75" s="26">
        <v>-3.8653E-2</v>
      </c>
      <c r="E75" s="26">
        <v>-4.0485E-2</v>
      </c>
      <c r="F75" s="26">
        <v>-7.0725999999999997E-2</v>
      </c>
      <c r="G75" s="26">
        <v>-6.9265999999999994E-2</v>
      </c>
      <c r="I75" s="20">
        <v>5</v>
      </c>
      <c r="J75" s="20" t="s">
        <v>230</v>
      </c>
      <c r="K75" s="23" t="e">
        <f t="shared" ref="K75:K78" si="0">I75*J75</f>
        <v>#VALUE!</v>
      </c>
      <c r="L75" s="23"/>
    </row>
    <row r="76" spans="1:12" ht="12.75" x14ac:dyDescent="0.2">
      <c r="A76" s="23" t="s">
        <v>10</v>
      </c>
      <c r="B76" s="24">
        <v>0.50654600000000005</v>
      </c>
      <c r="C76" s="24">
        <v>0.49308600000000002</v>
      </c>
      <c r="D76" s="26">
        <v>-4.4379000000000002E-2</v>
      </c>
      <c r="E76" s="26">
        <v>-3.0165000000000001E-2</v>
      </c>
      <c r="F76" s="26">
        <v>-4.8037000000000003E-2</v>
      </c>
      <c r="G76" s="26">
        <v>-4.9203999999999998E-2</v>
      </c>
      <c r="I76" s="20">
        <v>25</v>
      </c>
      <c r="J76" s="20" t="s">
        <v>230</v>
      </c>
      <c r="K76" s="23" t="e">
        <f t="shared" si="0"/>
        <v>#VALUE!</v>
      </c>
      <c r="L76" s="23"/>
    </row>
    <row r="77" spans="1:12" ht="12.75" x14ac:dyDescent="0.2">
      <c r="A77" s="23" t="s">
        <v>11</v>
      </c>
      <c r="B77" s="24">
        <v>0.751637</v>
      </c>
      <c r="C77" s="24">
        <v>0.69291599999999998</v>
      </c>
      <c r="D77" s="26">
        <v>-3.6642000000000001E-2</v>
      </c>
      <c r="E77" s="26">
        <v>-3.5784999999999997E-2</v>
      </c>
      <c r="F77" s="26">
        <v>-3.5159999999999997E-2</v>
      </c>
      <c r="G77" s="26">
        <v>-2.1659999999999999E-2</v>
      </c>
      <c r="I77" s="20">
        <v>100</v>
      </c>
      <c r="J77" s="20" t="s">
        <v>230</v>
      </c>
      <c r="K77" s="23" t="e">
        <f t="shared" si="0"/>
        <v>#VALUE!</v>
      </c>
      <c r="L77" s="23"/>
    </row>
    <row r="78" spans="1:12" ht="12.75" x14ac:dyDescent="0.2">
      <c r="A78" s="23" t="s">
        <v>12</v>
      </c>
      <c r="B78" s="25">
        <v>1.08694</v>
      </c>
      <c r="C78" s="25">
        <v>1.0315399999999999</v>
      </c>
      <c r="D78" s="26">
        <v>-4.2518E-2</v>
      </c>
      <c r="E78" s="26">
        <v>-2.9071E-2</v>
      </c>
      <c r="F78" s="26">
        <v>-2.0830000000000001E-2</v>
      </c>
      <c r="G78" s="26">
        <v>-2.4289000000000002E-2</v>
      </c>
      <c r="I78" s="20">
        <v>400</v>
      </c>
      <c r="J78" s="20" t="s">
        <v>230</v>
      </c>
      <c r="K78" s="23" t="e">
        <f t="shared" si="0"/>
        <v>#VALUE!</v>
      </c>
      <c r="L78" s="23"/>
    </row>
    <row r="79" spans="1:12" ht="12.75" x14ac:dyDescent="0.2">
      <c r="A79" s="23" t="s">
        <v>13</v>
      </c>
      <c r="B79" s="25">
        <v>1.4212899999999999</v>
      </c>
      <c r="C79" s="25">
        <v>1.4340599999999999</v>
      </c>
      <c r="D79" s="24">
        <v>0.63202999999999998</v>
      </c>
      <c r="E79" s="24">
        <v>0.65063800000000005</v>
      </c>
      <c r="F79" s="26">
        <v>-2.7439999999999999E-2</v>
      </c>
      <c r="G79" s="24">
        <v>0.53009600000000001</v>
      </c>
    </row>
    <row r="80" spans="1:12" ht="12.75" x14ac:dyDescent="0.2">
      <c r="A80" s="23" t="s">
        <v>14</v>
      </c>
      <c r="B80" s="25">
        <v>1.8362700000000001</v>
      </c>
      <c r="C80" s="25">
        <v>1.69041</v>
      </c>
      <c r="D80" s="24">
        <v>0.82157199999999997</v>
      </c>
      <c r="E80" s="24">
        <v>0.86334200000000005</v>
      </c>
      <c r="F80" s="24">
        <v>0.93187200000000003</v>
      </c>
      <c r="G80" s="24">
        <v>0.96404199999999995</v>
      </c>
      <c r="I80" s="20"/>
      <c r="J80" s="23" t="s">
        <v>231</v>
      </c>
      <c r="K80" s="23" t="s">
        <v>232</v>
      </c>
      <c r="L80" s="23" t="s">
        <v>229</v>
      </c>
    </row>
    <row r="81" spans="1:17" ht="12.75" x14ac:dyDescent="0.2">
      <c r="A81" s="23" t="s">
        <v>15</v>
      </c>
      <c r="B81" s="24">
        <v>0.90156199999999997</v>
      </c>
      <c r="C81" s="23"/>
      <c r="D81" s="24">
        <v>0.95112200000000002</v>
      </c>
      <c r="E81" s="25">
        <v>1.0462899999999999</v>
      </c>
      <c r="F81" s="25">
        <v>1.1079000000000001</v>
      </c>
      <c r="G81" s="25">
        <v>1.2640199999999999</v>
      </c>
      <c r="I81" s="20" t="s">
        <v>239</v>
      </c>
      <c r="J81" s="23">
        <v>40</v>
      </c>
      <c r="K81" s="23">
        <v>19.60745</v>
      </c>
      <c r="L81" s="23">
        <f>(K81/J81)*100</f>
        <v>49.018625</v>
      </c>
      <c r="N81" s="4"/>
    </row>
    <row r="82" spans="1:17" ht="12.75" x14ac:dyDescent="0.2">
      <c r="I82" s="20" t="s">
        <v>240</v>
      </c>
      <c r="J82" s="23">
        <v>40</v>
      </c>
      <c r="K82" s="23">
        <v>31.696149999999999</v>
      </c>
      <c r="L82" s="23">
        <f t="shared" ref="L82:L84" si="1">(K82/J82)*100</f>
        <v>79.240375</v>
      </c>
      <c r="N82" s="4"/>
    </row>
    <row r="83" spans="1:17" ht="12.75" x14ac:dyDescent="0.2">
      <c r="A83" s="23" t="s">
        <v>59</v>
      </c>
      <c r="B83" s="21">
        <v>7</v>
      </c>
      <c r="C83" s="21">
        <v>8</v>
      </c>
      <c r="D83" s="21">
        <v>9</v>
      </c>
      <c r="E83" s="21">
        <v>10</v>
      </c>
      <c r="F83" s="21">
        <v>11</v>
      </c>
      <c r="G83" s="21">
        <v>12</v>
      </c>
      <c r="I83" s="29" t="s">
        <v>241</v>
      </c>
      <c r="J83" s="30">
        <v>40</v>
      </c>
      <c r="K83" s="30">
        <v>44.288600000000002</v>
      </c>
      <c r="L83" s="30">
        <f t="shared" si="1"/>
        <v>110.72150000000001</v>
      </c>
      <c r="N83" s="4"/>
    </row>
    <row r="84" spans="1:17" ht="12.75" x14ac:dyDescent="0.2">
      <c r="A84" s="23" t="s">
        <v>8</v>
      </c>
      <c r="B84" s="25">
        <v>3.2257699999999998</v>
      </c>
      <c r="C84" s="25">
        <v>2.8133499999999998</v>
      </c>
      <c r="D84" s="26">
        <v>3.5811000000000003E-2</v>
      </c>
      <c r="E84" s="26">
        <v>8.6689199999999994E-2</v>
      </c>
      <c r="F84" s="22">
        <v>54.992400000000004</v>
      </c>
      <c r="G84" s="22">
        <v>52.448099999999997</v>
      </c>
      <c r="I84" s="29" t="s">
        <v>242</v>
      </c>
      <c r="J84" s="30">
        <v>40</v>
      </c>
      <c r="K84" s="30">
        <v>53.72025</v>
      </c>
      <c r="L84" s="30">
        <f t="shared" si="1"/>
        <v>134.300625</v>
      </c>
      <c r="N84" s="4"/>
    </row>
    <row r="85" spans="1:17" ht="12.75" x14ac:dyDescent="0.2">
      <c r="A85" s="23" t="s">
        <v>9</v>
      </c>
      <c r="B85" s="25">
        <v>6.4477099999999998</v>
      </c>
      <c r="C85" s="25">
        <v>6.1437499999999998</v>
      </c>
      <c r="D85" s="23" t="s">
        <v>80</v>
      </c>
      <c r="E85" s="23" t="s">
        <v>80</v>
      </c>
      <c r="F85" s="23" t="s">
        <v>80</v>
      </c>
      <c r="G85" s="23" t="s">
        <v>80</v>
      </c>
      <c r="N85" s="4"/>
    </row>
    <row r="86" spans="1:17" ht="12.75" x14ac:dyDescent="0.2">
      <c r="A86" s="23" t="s">
        <v>10</v>
      </c>
      <c r="B86" s="22">
        <v>13.4224</v>
      </c>
      <c r="C86" s="22">
        <v>12.8758</v>
      </c>
      <c r="D86" s="23" t="s">
        <v>80</v>
      </c>
      <c r="E86" s="23" t="s">
        <v>80</v>
      </c>
      <c r="F86" s="23" t="s">
        <v>80</v>
      </c>
      <c r="G86" s="23" t="s">
        <v>80</v>
      </c>
      <c r="N86" s="4"/>
    </row>
    <row r="87" spans="1:17" ht="12.75" x14ac:dyDescent="0.2">
      <c r="A87" s="23" t="s">
        <v>11</v>
      </c>
      <c r="B87" s="22">
        <v>25.745899999999999</v>
      </c>
      <c r="C87" s="22">
        <v>22.343399999999999</v>
      </c>
      <c r="D87" s="23" t="s">
        <v>80</v>
      </c>
      <c r="E87" s="23" t="s">
        <v>80</v>
      </c>
      <c r="F87" s="23" t="s">
        <v>80</v>
      </c>
      <c r="G87" s="26">
        <v>2.27073E-2</v>
      </c>
      <c r="N87" s="35" t="s">
        <v>238</v>
      </c>
      <c r="O87" s="35"/>
      <c r="P87" s="35"/>
      <c r="Q87" s="35"/>
    </row>
    <row r="88" spans="1:17" ht="12.75" x14ac:dyDescent="0.2">
      <c r="A88" s="23" t="s">
        <v>12</v>
      </c>
      <c r="B88" s="22">
        <v>52.6965</v>
      </c>
      <c r="C88" s="22">
        <v>47.164700000000003</v>
      </c>
      <c r="D88" s="23" t="s">
        <v>80</v>
      </c>
      <c r="E88" s="23" t="s">
        <v>80</v>
      </c>
      <c r="F88" s="26">
        <v>2.7645300000000001E-2</v>
      </c>
      <c r="G88" s="27">
        <v>8.87253E-3</v>
      </c>
      <c r="N88" s="32" t="s">
        <v>234</v>
      </c>
      <c r="O88" s="32" t="s">
        <v>235</v>
      </c>
      <c r="P88" s="32" t="s">
        <v>236</v>
      </c>
      <c r="Q88" s="33" t="s">
        <v>237</v>
      </c>
    </row>
    <row r="89" spans="1:17" ht="12.75" x14ac:dyDescent="0.2">
      <c r="A89" s="23" t="s">
        <v>13</v>
      </c>
      <c r="B89" s="28">
        <v>100.539</v>
      </c>
      <c r="C89" s="28">
        <v>103.03400000000001</v>
      </c>
      <c r="D89" s="22">
        <v>19.133199999999999</v>
      </c>
      <c r="E89" s="22">
        <v>20.081700000000001</v>
      </c>
      <c r="F89" s="23" t="s">
        <v>80</v>
      </c>
      <c r="G89" s="22">
        <v>14.408099999999999</v>
      </c>
      <c r="J89" s="34" t="s">
        <v>233</v>
      </c>
      <c r="K89" s="34"/>
      <c r="N89" s="32">
        <v>216</v>
      </c>
      <c r="O89" s="32">
        <v>24</v>
      </c>
      <c r="P89" s="23">
        <v>400</v>
      </c>
      <c r="Q89" s="20">
        <v>40</v>
      </c>
    </row>
    <row r="90" spans="1:17" ht="12.75" x14ac:dyDescent="0.2">
      <c r="A90" s="23" t="s">
        <v>14</v>
      </c>
      <c r="B90" s="28">
        <v>232.08500000000001</v>
      </c>
      <c r="C90" s="28">
        <v>170.625</v>
      </c>
      <c r="D90" s="22">
        <v>30.232500000000002</v>
      </c>
      <c r="E90" s="22">
        <v>33.159799999999997</v>
      </c>
      <c r="F90" s="22">
        <v>38.407800000000002</v>
      </c>
      <c r="G90" s="22">
        <v>41.0794</v>
      </c>
      <c r="I90" s="20" t="s">
        <v>226</v>
      </c>
      <c r="J90" s="23" t="s">
        <v>227</v>
      </c>
      <c r="K90" s="23" t="s">
        <v>228</v>
      </c>
      <c r="L90" s="23" t="s">
        <v>229</v>
      </c>
      <c r="N90" s="4"/>
    </row>
    <row r="91" spans="1:17" ht="12.75" x14ac:dyDescent="0.2">
      <c r="A91" s="23" t="s">
        <v>15</v>
      </c>
      <c r="B91" s="22">
        <v>36.015099999999997</v>
      </c>
      <c r="C91" s="23"/>
      <c r="D91" s="22">
        <v>39.989600000000003</v>
      </c>
      <c r="E91" s="22">
        <v>48.587600000000002</v>
      </c>
      <c r="F91" s="22">
        <v>54.928400000000003</v>
      </c>
      <c r="G91" s="22">
        <v>74.387799999999999</v>
      </c>
      <c r="I91" s="20">
        <v>1</v>
      </c>
      <c r="J91" s="20" t="s">
        <v>230</v>
      </c>
      <c r="K91" s="23" t="e">
        <f>I91*J91</f>
        <v>#VALUE!</v>
      </c>
      <c r="L91" s="23"/>
    </row>
    <row r="92" spans="1:17" ht="12.75" x14ac:dyDescent="0.2">
      <c r="I92" s="20">
        <v>5</v>
      </c>
      <c r="J92" s="20" t="s">
        <v>230</v>
      </c>
      <c r="K92" s="23" t="e">
        <f t="shared" ref="K92:K95" si="2">I92*J92</f>
        <v>#VALUE!</v>
      </c>
      <c r="L92" s="23"/>
    </row>
    <row r="93" spans="1:17" ht="12.75" x14ac:dyDescent="0.2">
      <c r="A93" s="23" t="s">
        <v>16</v>
      </c>
      <c r="B93" s="21">
        <v>7</v>
      </c>
      <c r="C93" s="21">
        <v>8</v>
      </c>
      <c r="D93" s="21">
        <v>9</v>
      </c>
      <c r="E93" s="21">
        <v>10</v>
      </c>
      <c r="F93" s="21">
        <v>11</v>
      </c>
      <c r="G93" s="21">
        <v>12</v>
      </c>
      <c r="I93" s="20">
        <v>25</v>
      </c>
      <c r="J93" s="4">
        <v>2.27073E-2</v>
      </c>
      <c r="K93" s="23">
        <f t="shared" si="2"/>
        <v>0.56768249999999998</v>
      </c>
      <c r="L93" s="23"/>
    </row>
    <row r="94" spans="1:17" ht="12.75" x14ac:dyDescent="0.2">
      <c r="A94" s="23" t="s">
        <v>8</v>
      </c>
      <c r="B94" s="20" t="s">
        <v>198</v>
      </c>
      <c r="C94" s="20" t="s">
        <v>198</v>
      </c>
      <c r="D94" s="20" t="s">
        <v>199</v>
      </c>
      <c r="E94" s="20" t="s">
        <v>199</v>
      </c>
      <c r="F94" s="20" t="s">
        <v>200</v>
      </c>
      <c r="G94" s="20" t="s">
        <v>200</v>
      </c>
      <c r="I94" s="20">
        <v>100</v>
      </c>
      <c r="J94" s="4">
        <v>1.8258915000000001E-2</v>
      </c>
      <c r="K94" s="23">
        <f t="shared" si="2"/>
        <v>1.8258915</v>
      </c>
      <c r="L94" s="23"/>
    </row>
    <row r="95" spans="1:17" ht="12.75" x14ac:dyDescent="0.2">
      <c r="A95" s="23" t="s">
        <v>9</v>
      </c>
      <c r="B95" s="20" t="s">
        <v>201</v>
      </c>
      <c r="C95" s="20" t="s">
        <v>201</v>
      </c>
      <c r="D95" s="20" t="s">
        <v>202</v>
      </c>
      <c r="E95" s="20" t="s">
        <v>202</v>
      </c>
      <c r="F95" s="20" t="s">
        <v>203</v>
      </c>
      <c r="G95" s="20" t="s">
        <v>203</v>
      </c>
      <c r="I95" s="20">
        <v>400</v>
      </c>
      <c r="J95" s="20" t="s">
        <v>230</v>
      </c>
      <c r="K95" s="23" t="e">
        <f t="shared" si="2"/>
        <v>#VALUE!</v>
      </c>
      <c r="L95" s="23"/>
    </row>
    <row r="96" spans="1:17" ht="12.75" x14ac:dyDescent="0.2">
      <c r="A96" s="23" t="s">
        <v>10</v>
      </c>
      <c r="B96" s="20" t="s">
        <v>204</v>
      </c>
      <c r="C96" s="20" t="s">
        <v>204</v>
      </c>
      <c r="D96" s="20" t="s">
        <v>205</v>
      </c>
      <c r="E96" s="20" t="s">
        <v>205</v>
      </c>
      <c r="F96" s="20" t="s">
        <v>206</v>
      </c>
      <c r="G96" s="20" t="s">
        <v>206</v>
      </c>
    </row>
    <row r="97" spans="1:15" ht="12.75" x14ac:dyDescent="0.2">
      <c r="A97" s="23" t="s">
        <v>11</v>
      </c>
      <c r="B97" s="20" t="s">
        <v>207</v>
      </c>
      <c r="C97" s="20" t="s">
        <v>207</v>
      </c>
      <c r="D97" s="20" t="s">
        <v>208</v>
      </c>
      <c r="E97" s="20" t="s">
        <v>209</v>
      </c>
      <c r="F97" s="20" t="s">
        <v>210</v>
      </c>
      <c r="G97" s="20" t="s">
        <v>210</v>
      </c>
      <c r="I97" s="20"/>
      <c r="J97" s="23" t="s">
        <v>231</v>
      </c>
      <c r="K97" s="23" t="s">
        <v>232</v>
      </c>
      <c r="L97" s="23" t="s">
        <v>229</v>
      </c>
    </row>
    <row r="98" spans="1:15" ht="12.75" x14ac:dyDescent="0.2">
      <c r="A98" s="23" t="s">
        <v>12</v>
      </c>
      <c r="B98" s="20" t="s">
        <v>211</v>
      </c>
      <c r="C98" s="20" t="s">
        <v>211</v>
      </c>
      <c r="D98" s="20" t="s">
        <v>212</v>
      </c>
      <c r="E98" s="20" t="s">
        <v>213</v>
      </c>
      <c r="F98" s="20" t="s">
        <v>214</v>
      </c>
      <c r="G98" s="20" t="s">
        <v>214</v>
      </c>
      <c r="I98" s="20" t="s">
        <v>244</v>
      </c>
      <c r="J98" s="23">
        <v>40</v>
      </c>
      <c r="K98" s="23">
        <v>14.408099999999999</v>
      </c>
      <c r="L98" s="23">
        <f>(K98/J98)*100</f>
        <v>36.020249999999997</v>
      </c>
      <c r="O98" t="s">
        <v>3</v>
      </c>
    </row>
    <row r="99" spans="1:15" ht="12.75" x14ac:dyDescent="0.2">
      <c r="A99" s="23" t="s">
        <v>13</v>
      </c>
      <c r="B99" s="20" t="s">
        <v>215</v>
      </c>
      <c r="C99" s="20" t="s">
        <v>215</v>
      </c>
      <c r="D99" s="20" t="s">
        <v>216</v>
      </c>
      <c r="E99" s="20" t="s">
        <v>216</v>
      </c>
      <c r="F99" s="20" t="s">
        <v>217</v>
      </c>
      <c r="G99" s="20" t="s">
        <v>218</v>
      </c>
      <c r="I99" s="20" t="s">
        <v>245</v>
      </c>
      <c r="J99" s="23">
        <v>40.020000000000003</v>
      </c>
      <c r="K99" s="23">
        <v>39.743600000000001</v>
      </c>
      <c r="L99" s="23">
        <f t="shared" ref="L99:L101" si="3">(K99/J99)*100</f>
        <v>99.309345327336331</v>
      </c>
    </row>
    <row r="100" spans="1:15" ht="12.75" x14ac:dyDescent="0.2">
      <c r="A100" s="23" t="s">
        <v>14</v>
      </c>
      <c r="B100" s="20" t="s">
        <v>219</v>
      </c>
      <c r="C100" s="20" t="s">
        <v>219</v>
      </c>
      <c r="D100" s="20" t="s">
        <v>220</v>
      </c>
      <c r="E100" s="20" t="s">
        <v>220</v>
      </c>
      <c r="F100" s="20" t="s">
        <v>221</v>
      </c>
      <c r="G100" s="20" t="s">
        <v>221</v>
      </c>
      <c r="I100" s="20" t="s">
        <v>246</v>
      </c>
      <c r="J100" s="23">
        <v>40.016469999999998</v>
      </c>
      <c r="K100" s="23">
        <v>64.658100000000005</v>
      </c>
      <c r="L100" s="23">
        <f t="shared" si="3"/>
        <v>161.57871996205563</v>
      </c>
    </row>
    <row r="101" spans="1:15" ht="12.75" x14ac:dyDescent="0.2">
      <c r="A101" s="23" t="s">
        <v>15</v>
      </c>
      <c r="B101" s="20" t="s">
        <v>243</v>
      </c>
      <c r="C101" s="20" t="s">
        <v>222</v>
      </c>
      <c r="D101" s="20" t="s">
        <v>223</v>
      </c>
      <c r="E101" s="20" t="s">
        <v>223</v>
      </c>
      <c r="F101" s="20" t="s">
        <v>224</v>
      </c>
      <c r="G101" s="20" t="s">
        <v>224</v>
      </c>
      <c r="I101" s="20" t="s">
        <v>247</v>
      </c>
      <c r="J101" s="23">
        <v>40</v>
      </c>
      <c r="K101" s="23">
        <v>36.015099999999997</v>
      </c>
      <c r="L101" s="23">
        <f t="shared" si="3"/>
        <v>90.037749999999988</v>
      </c>
    </row>
    <row r="103" spans="1:15" ht="12.75" x14ac:dyDescent="0.2">
      <c r="A103" t="s">
        <v>81</v>
      </c>
      <c r="F103" s="38" t="s">
        <v>248</v>
      </c>
      <c r="G103" s="38"/>
    </row>
    <row r="104" spans="1:15" ht="15" customHeight="1" x14ac:dyDescent="0.2">
      <c r="F104" s="39" t="s">
        <v>249</v>
      </c>
      <c r="G104" s="39"/>
    </row>
  </sheetData>
  <mergeCells count="3">
    <mergeCell ref="J72:K72"/>
    <mergeCell ref="J89:K89"/>
    <mergeCell ref="N87:Q87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General information"/>
  <dimension ref="A1:E5"/>
  <sheetViews>
    <sheetView workbookViewId="0"/>
  </sheetViews>
  <sheetFormatPr defaultColWidth="9.140625" defaultRowHeight="15" customHeight="1" x14ac:dyDescent="0.2"/>
  <sheetData>
    <row r="1" spans="1:5" ht="15" customHeight="1" x14ac:dyDescent="0.2">
      <c r="A1" t="s">
        <v>87</v>
      </c>
    </row>
    <row r="3" spans="1:5" ht="15" customHeight="1" x14ac:dyDescent="0.2">
      <c r="B3" t="s">
        <v>88</v>
      </c>
      <c r="E3" t="s">
        <v>89</v>
      </c>
    </row>
    <row r="4" spans="1:5" ht="15" customHeight="1" x14ac:dyDescent="0.2">
      <c r="B4" t="s">
        <v>90</v>
      </c>
      <c r="E4" t="s">
        <v>91</v>
      </c>
    </row>
    <row r="5" spans="1:5" ht="15" customHeight="1" x14ac:dyDescent="0.2">
      <c r="A5" t="s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ession information"/>
  <dimension ref="A1:E7"/>
  <sheetViews>
    <sheetView workbookViewId="0"/>
  </sheetViews>
  <sheetFormatPr defaultColWidth="9.140625" defaultRowHeight="15" customHeight="1" x14ac:dyDescent="0.2"/>
  <cols>
    <col min="1" max="1" width="19.28515625" customWidth="1"/>
    <col min="2" max="2" width="14.85546875" customWidth="1"/>
    <col min="4" max="4" width="2" customWidth="1"/>
    <col min="5" max="5" width="53.140625" customWidth="1"/>
  </cols>
  <sheetData>
    <row r="1" spans="1:5" ht="15" customHeight="1" x14ac:dyDescent="0.2">
      <c r="A1" t="s">
        <v>92</v>
      </c>
    </row>
    <row r="3" spans="1:5" ht="15" customHeight="1" x14ac:dyDescent="0.2">
      <c r="B3" t="s">
        <v>93</v>
      </c>
      <c r="E3" t="s">
        <v>1</v>
      </c>
    </row>
    <row r="4" spans="1:5" ht="15" customHeight="1" x14ac:dyDescent="0.2">
      <c r="B4" t="s">
        <v>94</v>
      </c>
    </row>
    <row r="5" spans="1:5" ht="15" customHeight="1" x14ac:dyDescent="0.2">
      <c r="B5" t="s">
        <v>95</v>
      </c>
      <c r="E5" t="s">
        <v>96</v>
      </c>
    </row>
    <row r="6" spans="1:5" ht="15" customHeight="1" x14ac:dyDescent="0.2">
      <c r="B6" t="s">
        <v>97</v>
      </c>
      <c r="E6" t="s">
        <v>2</v>
      </c>
    </row>
    <row r="7" spans="1:5" ht="15" customHeight="1" x14ac:dyDescent="0.2">
      <c r="A7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Instrument information"/>
  <dimension ref="A1:E94"/>
  <sheetViews>
    <sheetView workbookViewId="0"/>
  </sheetViews>
  <sheetFormatPr defaultColWidth="9.140625" defaultRowHeight="15" customHeight="1" x14ac:dyDescent="0.2"/>
  <cols>
    <col min="1" max="1" width="21.5703125" customWidth="1"/>
    <col min="2" max="2" width="19.28515625" customWidth="1"/>
    <col min="3" max="3" width="29" customWidth="1"/>
    <col min="4" max="4" width="2" customWidth="1"/>
    <col min="5" max="5" width="23.7109375" customWidth="1"/>
  </cols>
  <sheetData>
    <row r="1" spans="1:5" ht="15" customHeight="1" x14ac:dyDescent="0.2">
      <c r="A1" t="s">
        <v>98</v>
      </c>
    </row>
    <row r="3" spans="1:5" ht="15" customHeight="1" x14ac:dyDescent="0.2">
      <c r="B3" t="s">
        <v>99</v>
      </c>
      <c r="E3" t="s">
        <v>100</v>
      </c>
    </row>
    <row r="4" spans="1:5" ht="15" customHeight="1" x14ac:dyDescent="0.2">
      <c r="B4" t="s">
        <v>101</v>
      </c>
      <c r="E4" t="s">
        <v>102</v>
      </c>
    </row>
    <row r="5" spans="1:5" ht="15" customHeight="1" x14ac:dyDescent="0.2">
      <c r="B5" t="s">
        <v>103</v>
      </c>
      <c r="E5" t="s">
        <v>104</v>
      </c>
    </row>
    <row r="6" spans="1:5" ht="15" customHeight="1" x14ac:dyDescent="0.2">
      <c r="B6" t="s">
        <v>105</v>
      </c>
      <c r="E6" t="s">
        <v>106</v>
      </c>
    </row>
    <row r="8" spans="1:5" ht="15" customHeight="1" x14ac:dyDescent="0.2">
      <c r="B8" t="s">
        <v>107</v>
      </c>
    </row>
    <row r="10" spans="1:5" ht="15" customHeight="1" x14ac:dyDescent="0.2">
      <c r="B10" t="s">
        <v>108</v>
      </c>
    </row>
    <row r="11" spans="1:5" ht="15" customHeight="1" x14ac:dyDescent="0.2">
      <c r="C11" t="s">
        <v>109</v>
      </c>
      <c r="E11" t="s">
        <v>110</v>
      </c>
    </row>
    <row r="12" spans="1:5" ht="15" customHeight="1" x14ac:dyDescent="0.2">
      <c r="C12" t="s">
        <v>99</v>
      </c>
      <c r="E12" t="s">
        <v>111</v>
      </c>
    </row>
    <row r="13" spans="1:5" ht="15" customHeight="1" x14ac:dyDescent="0.2">
      <c r="C13" t="s">
        <v>112</v>
      </c>
      <c r="E13" t="s">
        <v>113</v>
      </c>
    </row>
    <row r="14" spans="1:5" ht="15" customHeight="1" x14ac:dyDescent="0.2">
      <c r="C14" t="s">
        <v>114</v>
      </c>
      <c r="E14" t="s">
        <v>115</v>
      </c>
    </row>
    <row r="15" spans="1:5" ht="15" customHeight="1" x14ac:dyDescent="0.2">
      <c r="C15" t="s">
        <v>116</v>
      </c>
      <c r="E15" t="s">
        <v>117</v>
      </c>
    </row>
    <row r="16" spans="1:5" ht="15" customHeight="1" x14ac:dyDescent="0.2">
      <c r="C16" t="s">
        <v>118</v>
      </c>
      <c r="E16" t="s">
        <v>119</v>
      </c>
    </row>
    <row r="18" spans="2:5" ht="15" customHeight="1" x14ac:dyDescent="0.2">
      <c r="B18" t="s">
        <v>108</v>
      </c>
    </row>
    <row r="19" spans="2:5" ht="15" customHeight="1" x14ac:dyDescent="0.2">
      <c r="C19" t="s">
        <v>109</v>
      </c>
      <c r="E19" t="s">
        <v>120</v>
      </c>
    </row>
    <row r="20" spans="2:5" ht="15" customHeight="1" x14ac:dyDescent="0.2">
      <c r="C20" t="s">
        <v>99</v>
      </c>
      <c r="E20" t="s">
        <v>121</v>
      </c>
    </row>
    <row r="21" spans="2:5" ht="15" customHeight="1" x14ac:dyDescent="0.2">
      <c r="C21" t="s">
        <v>112</v>
      </c>
      <c r="E21" t="s">
        <v>122</v>
      </c>
    </row>
    <row r="22" spans="2:5" ht="15" customHeight="1" x14ac:dyDescent="0.2">
      <c r="C22" t="s">
        <v>114</v>
      </c>
      <c r="E22" t="s">
        <v>123</v>
      </c>
    </row>
    <row r="23" spans="2:5" ht="15" customHeight="1" x14ac:dyDescent="0.2">
      <c r="C23" t="s">
        <v>116</v>
      </c>
      <c r="E23" t="s">
        <v>117</v>
      </c>
    </row>
    <row r="24" spans="2:5" ht="15" customHeight="1" x14ac:dyDescent="0.2">
      <c r="C24" t="s">
        <v>118</v>
      </c>
      <c r="E24" t="s">
        <v>119</v>
      </c>
    </row>
    <row r="26" spans="2:5" ht="15" customHeight="1" x14ac:dyDescent="0.2">
      <c r="B26" t="s">
        <v>108</v>
      </c>
    </row>
    <row r="27" spans="2:5" ht="15" customHeight="1" x14ac:dyDescent="0.2">
      <c r="C27" t="s">
        <v>109</v>
      </c>
      <c r="E27" t="s">
        <v>124</v>
      </c>
    </row>
    <row r="28" spans="2:5" ht="15" customHeight="1" x14ac:dyDescent="0.2">
      <c r="C28" t="s">
        <v>99</v>
      </c>
      <c r="E28" t="s">
        <v>125</v>
      </c>
    </row>
    <row r="29" spans="2:5" ht="15" customHeight="1" x14ac:dyDescent="0.2">
      <c r="C29" t="s">
        <v>112</v>
      </c>
      <c r="E29" t="s">
        <v>126</v>
      </c>
    </row>
    <row r="30" spans="2:5" ht="15" customHeight="1" x14ac:dyDescent="0.2">
      <c r="C30" t="s">
        <v>114</v>
      </c>
      <c r="E30" t="s">
        <v>123</v>
      </c>
    </row>
    <row r="31" spans="2:5" ht="15" customHeight="1" x14ac:dyDescent="0.2">
      <c r="C31" t="s">
        <v>116</v>
      </c>
      <c r="E31" t="s">
        <v>117</v>
      </c>
    </row>
    <row r="32" spans="2:5" ht="15" customHeight="1" x14ac:dyDescent="0.2">
      <c r="C32" t="s">
        <v>118</v>
      </c>
      <c r="E32" t="s">
        <v>119</v>
      </c>
    </row>
    <row r="34" spans="2:5" ht="15" customHeight="1" x14ac:dyDescent="0.2">
      <c r="B34" t="s">
        <v>127</v>
      </c>
    </row>
    <row r="35" spans="2:5" ht="15" customHeight="1" x14ac:dyDescent="0.2">
      <c r="C35" t="s">
        <v>128</v>
      </c>
      <c r="E35" t="s">
        <v>129</v>
      </c>
    </row>
    <row r="36" spans="2:5" ht="15" customHeight="1" x14ac:dyDescent="0.2">
      <c r="C36" t="s">
        <v>99</v>
      </c>
      <c r="E36" t="s">
        <v>130</v>
      </c>
    </row>
    <row r="37" spans="2:5" ht="15" customHeight="1" x14ac:dyDescent="0.2">
      <c r="C37" t="s">
        <v>131</v>
      </c>
      <c r="E37" t="s">
        <v>132</v>
      </c>
    </row>
    <row r="38" spans="2:5" ht="15" customHeight="1" x14ac:dyDescent="0.2">
      <c r="C38" t="s">
        <v>114</v>
      </c>
      <c r="E38" t="s">
        <v>133</v>
      </c>
    </row>
    <row r="39" spans="2:5" ht="12.75" x14ac:dyDescent="0.2">
      <c r="C39" t="s">
        <v>116</v>
      </c>
      <c r="E39" t="s">
        <v>117</v>
      </c>
    </row>
    <row r="40" spans="2:5" ht="12.75" x14ac:dyDescent="0.2">
      <c r="C40" t="s">
        <v>118</v>
      </c>
      <c r="E40" t="s">
        <v>119</v>
      </c>
    </row>
    <row r="41" spans="2:5" ht="12.75" x14ac:dyDescent="0.2"/>
    <row r="42" spans="2:5" ht="12.75" x14ac:dyDescent="0.2">
      <c r="B42" t="s">
        <v>127</v>
      </c>
    </row>
    <row r="43" spans="2:5" ht="12.75" x14ac:dyDescent="0.2">
      <c r="C43" t="s">
        <v>128</v>
      </c>
      <c r="E43" t="s">
        <v>134</v>
      </c>
    </row>
    <row r="44" spans="2:5" ht="12.75" x14ac:dyDescent="0.2">
      <c r="C44" t="s">
        <v>99</v>
      </c>
      <c r="E44" t="s">
        <v>135</v>
      </c>
    </row>
    <row r="45" spans="2:5" ht="12.75" x14ac:dyDescent="0.2">
      <c r="C45" t="s">
        <v>131</v>
      </c>
      <c r="E45" t="s">
        <v>136</v>
      </c>
    </row>
    <row r="46" spans="2:5" ht="12.75" x14ac:dyDescent="0.2">
      <c r="C46" t="s">
        <v>114</v>
      </c>
      <c r="E46" t="s">
        <v>123</v>
      </c>
    </row>
    <row r="47" spans="2:5" ht="12.75" x14ac:dyDescent="0.2">
      <c r="C47" t="s">
        <v>116</v>
      </c>
      <c r="E47" t="s">
        <v>117</v>
      </c>
    </row>
    <row r="48" spans="2:5" ht="12.75" x14ac:dyDescent="0.2">
      <c r="C48" t="s">
        <v>118</v>
      </c>
      <c r="E48" t="s">
        <v>119</v>
      </c>
    </row>
    <row r="49" spans="2:5" ht="12.75" x14ac:dyDescent="0.2"/>
    <row r="50" spans="2:5" ht="12.75" x14ac:dyDescent="0.2">
      <c r="B50" t="s">
        <v>127</v>
      </c>
    </row>
    <row r="51" spans="2:5" ht="12.75" x14ac:dyDescent="0.2">
      <c r="C51" t="s">
        <v>128</v>
      </c>
      <c r="E51" t="s">
        <v>137</v>
      </c>
    </row>
    <row r="52" spans="2:5" ht="12.75" x14ac:dyDescent="0.2">
      <c r="C52" t="s">
        <v>99</v>
      </c>
      <c r="E52" t="s">
        <v>138</v>
      </c>
    </row>
    <row r="53" spans="2:5" ht="12.75" x14ac:dyDescent="0.2">
      <c r="C53" t="s">
        <v>131</v>
      </c>
      <c r="E53" t="s">
        <v>139</v>
      </c>
    </row>
    <row r="54" spans="2:5" ht="12.75" x14ac:dyDescent="0.2">
      <c r="C54" t="s">
        <v>114</v>
      </c>
      <c r="E54" t="s">
        <v>140</v>
      </c>
    </row>
    <row r="55" spans="2:5" ht="12.75" x14ac:dyDescent="0.2">
      <c r="C55" t="s">
        <v>116</v>
      </c>
      <c r="E55" t="s">
        <v>117</v>
      </c>
    </row>
    <row r="56" spans="2:5" ht="12.75" x14ac:dyDescent="0.2">
      <c r="C56" t="s">
        <v>118</v>
      </c>
      <c r="E56" t="s">
        <v>119</v>
      </c>
    </row>
    <row r="57" spans="2:5" ht="12.75" x14ac:dyDescent="0.2"/>
    <row r="58" spans="2:5" ht="12.75" x14ac:dyDescent="0.2">
      <c r="B58" t="s">
        <v>141</v>
      </c>
    </row>
    <row r="59" spans="2:5" ht="12.75" x14ac:dyDescent="0.2">
      <c r="C59" t="s">
        <v>99</v>
      </c>
      <c r="E59" t="s">
        <v>142</v>
      </c>
    </row>
    <row r="60" spans="2:5" ht="12.75" x14ac:dyDescent="0.2">
      <c r="C60" t="s">
        <v>109</v>
      </c>
      <c r="E60" t="s">
        <v>110</v>
      </c>
    </row>
    <row r="61" spans="2:5" ht="12.75" x14ac:dyDescent="0.2">
      <c r="C61" t="s">
        <v>99</v>
      </c>
      <c r="E61" t="s">
        <v>111</v>
      </c>
    </row>
    <row r="62" spans="2:5" ht="12.75" x14ac:dyDescent="0.2">
      <c r="C62" t="s">
        <v>112</v>
      </c>
      <c r="E62" t="s">
        <v>113</v>
      </c>
    </row>
    <row r="63" spans="2:5" ht="12.75" x14ac:dyDescent="0.2">
      <c r="C63" t="s">
        <v>128</v>
      </c>
      <c r="E63" t="s">
        <v>129</v>
      </c>
    </row>
    <row r="64" spans="2:5" ht="12.75" x14ac:dyDescent="0.2">
      <c r="C64" t="s">
        <v>99</v>
      </c>
      <c r="E64" t="s">
        <v>130</v>
      </c>
    </row>
    <row r="65" spans="2:5" ht="12.75" x14ac:dyDescent="0.2">
      <c r="C65" t="s">
        <v>131</v>
      </c>
      <c r="E65" t="s">
        <v>132</v>
      </c>
    </row>
    <row r="66" spans="2:5" ht="12.75" x14ac:dyDescent="0.2">
      <c r="C66" t="s">
        <v>116</v>
      </c>
      <c r="E66" t="s">
        <v>117</v>
      </c>
    </row>
    <row r="67" spans="2:5" ht="12.75" x14ac:dyDescent="0.2">
      <c r="C67" t="s">
        <v>143</v>
      </c>
      <c r="E67" t="s">
        <v>144</v>
      </c>
    </row>
    <row r="68" spans="2:5" ht="12.75" x14ac:dyDescent="0.2"/>
    <row r="69" spans="2:5" ht="12.75" x14ac:dyDescent="0.2">
      <c r="B69" t="s">
        <v>141</v>
      </c>
    </row>
    <row r="70" spans="2:5" ht="12.75" x14ac:dyDescent="0.2">
      <c r="C70" t="s">
        <v>99</v>
      </c>
      <c r="E70" t="s">
        <v>145</v>
      </c>
    </row>
    <row r="71" spans="2:5" ht="12.75" x14ac:dyDescent="0.2">
      <c r="C71" t="s">
        <v>109</v>
      </c>
      <c r="E71" t="s">
        <v>120</v>
      </c>
    </row>
    <row r="72" spans="2:5" ht="12.75" x14ac:dyDescent="0.2">
      <c r="C72" t="s">
        <v>99</v>
      </c>
      <c r="E72" t="s">
        <v>121</v>
      </c>
    </row>
    <row r="73" spans="2:5" ht="12.75" x14ac:dyDescent="0.2">
      <c r="C73" t="s">
        <v>112</v>
      </c>
      <c r="E73" t="s">
        <v>122</v>
      </c>
    </row>
    <row r="74" spans="2:5" ht="12.75" x14ac:dyDescent="0.2">
      <c r="C74" t="s">
        <v>128</v>
      </c>
      <c r="E74" t="s">
        <v>134</v>
      </c>
    </row>
    <row r="75" spans="2:5" ht="12.75" x14ac:dyDescent="0.2">
      <c r="C75" t="s">
        <v>99</v>
      </c>
      <c r="E75" t="s">
        <v>135</v>
      </c>
    </row>
    <row r="76" spans="2:5" ht="12.75" x14ac:dyDescent="0.2">
      <c r="C76" t="s">
        <v>131</v>
      </c>
      <c r="E76" t="s">
        <v>136</v>
      </c>
    </row>
    <row r="77" spans="2:5" ht="12.75" x14ac:dyDescent="0.2">
      <c r="C77" t="s">
        <v>116</v>
      </c>
      <c r="E77" t="s">
        <v>117</v>
      </c>
    </row>
    <row r="78" spans="2:5" ht="12.75" x14ac:dyDescent="0.2">
      <c r="C78" t="s">
        <v>143</v>
      </c>
      <c r="E78" t="s">
        <v>144</v>
      </c>
    </row>
    <row r="79" spans="2:5" ht="12.75" x14ac:dyDescent="0.2"/>
    <row r="80" spans="2:5" ht="12.75" x14ac:dyDescent="0.2">
      <c r="B80" t="s">
        <v>141</v>
      </c>
    </row>
    <row r="81" spans="3:5" ht="12.75" x14ac:dyDescent="0.2">
      <c r="C81" t="s">
        <v>99</v>
      </c>
      <c r="E81" t="s">
        <v>146</v>
      </c>
    </row>
    <row r="82" spans="3:5" ht="12.75" x14ac:dyDescent="0.2">
      <c r="C82" t="s">
        <v>109</v>
      </c>
      <c r="E82" t="s">
        <v>124</v>
      </c>
    </row>
    <row r="83" spans="3:5" ht="12.75" x14ac:dyDescent="0.2">
      <c r="C83" t="s">
        <v>99</v>
      </c>
      <c r="E83" t="s">
        <v>125</v>
      </c>
    </row>
    <row r="84" spans="3:5" ht="12.75" x14ac:dyDescent="0.2">
      <c r="C84" t="s">
        <v>112</v>
      </c>
      <c r="E84" t="s">
        <v>126</v>
      </c>
    </row>
    <row r="85" spans="3:5" ht="12.75" x14ac:dyDescent="0.2">
      <c r="C85" t="s">
        <v>128</v>
      </c>
      <c r="E85" t="s">
        <v>137</v>
      </c>
    </row>
    <row r="86" spans="3:5" ht="12.75" x14ac:dyDescent="0.2">
      <c r="C86" t="s">
        <v>99</v>
      </c>
      <c r="E86" t="s">
        <v>138</v>
      </c>
    </row>
    <row r="87" spans="3:5" ht="12.75" x14ac:dyDescent="0.2">
      <c r="C87" t="s">
        <v>131</v>
      </c>
      <c r="E87" t="s">
        <v>139</v>
      </c>
    </row>
    <row r="88" spans="3:5" ht="12.75" x14ac:dyDescent="0.2">
      <c r="C88" t="s">
        <v>116</v>
      </c>
      <c r="E88" t="s">
        <v>117</v>
      </c>
    </row>
    <row r="89" spans="3:5" ht="12.75" x14ac:dyDescent="0.2">
      <c r="C89" t="s">
        <v>143</v>
      </c>
      <c r="E89" t="s">
        <v>144</v>
      </c>
    </row>
    <row r="90" spans="3:5" ht="12.75" x14ac:dyDescent="0.2"/>
    <row r="91" spans="3:5" ht="12.75" x14ac:dyDescent="0.2">
      <c r="C91" t="s">
        <v>147</v>
      </c>
      <c r="E91" t="s">
        <v>117</v>
      </c>
    </row>
    <row r="92" spans="3:5" ht="12.75" x14ac:dyDescent="0.2">
      <c r="C92" t="s">
        <v>148</v>
      </c>
      <c r="E92" t="s">
        <v>149</v>
      </c>
    </row>
    <row r="93" spans="3:5" ht="12.75" x14ac:dyDescent="0.2">
      <c r="C93" t="s">
        <v>150</v>
      </c>
      <c r="E93" t="s">
        <v>117</v>
      </c>
    </row>
    <row r="94" spans="3:5" ht="12.75" x14ac:dyDescent="0.2">
      <c r="C94" t="s">
        <v>151</v>
      </c>
      <c r="E94" t="s">
        <v>117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rotocol parameters"/>
  <dimension ref="A1:E19"/>
  <sheetViews>
    <sheetView workbookViewId="0"/>
  </sheetViews>
  <sheetFormatPr defaultColWidth="9.140625" defaultRowHeight="15" customHeight="1" x14ac:dyDescent="0.2"/>
  <cols>
    <col min="1" max="1" width="19.7109375" customWidth="1"/>
    <col min="2" max="2" width="29.140625" customWidth="1"/>
    <col min="4" max="4" width="2" customWidth="1"/>
    <col min="5" max="5" width="12" customWidth="1"/>
  </cols>
  <sheetData>
    <row r="1" spans="1:5" ht="15" customHeight="1" x14ac:dyDescent="0.2">
      <c r="A1" t="s">
        <v>152</v>
      </c>
    </row>
    <row r="3" spans="1:5" ht="15" customHeight="1" x14ac:dyDescent="0.2">
      <c r="B3" t="s">
        <v>153</v>
      </c>
      <c r="E3" t="s">
        <v>144</v>
      </c>
    </row>
    <row r="4" spans="1:5" ht="15" customHeight="1" x14ac:dyDescent="0.2">
      <c r="B4" t="s">
        <v>154</v>
      </c>
      <c r="E4" t="s">
        <v>149</v>
      </c>
    </row>
    <row r="5" spans="1:5" ht="15" customHeight="1" x14ac:dyDescent="0.2">
      <c r="B5" t="s">
        <v>155</v>
      </c>
      <c r="E5" t="s">
        <v>149</v>
      </c>
    </row>
    <row r="7" spans="1:5" ht="15" customHeight="1" x14ac:dyDescent="0.2">
      <c r="A7" t="s">
        <v>156</v>
      </c>
    </row>
    <row r="9" spans="1:5" ht="15" customHeight="1" x14ac:dyDescent="0.2">
      <c r="B9" t="s">
        <v>157</v>
      </c>
      <c r="E9" t="s">
        <v>158</v>
      </c>
    </row>
    <row r="10" spans="1:5" ht="15" customHeight="1" x14ac:dyDescent="0.2">
      <c r="B10" t="s">
        <v>159</v>
      </c>
      <c r="E10" t="s">
        <v>160</v>
      </c>
    </row>
    <row r="11" spans="1:5" ht="15" customHeight="1" x14ac:dyDescent="0.2">
      <c r="B11" t="s">
        <v>161</v>
      </c>
      <c r="E11" t="s">
        <v>162</v>
      </c>
    </row>
    <row r="12" spans="1:5" ht="15" customHeight="1" x14ac:dyDescent="0.2">
      <c r="B12" t="s">
        <v>163</v>
      </c>
      <c r="E12" t="s">
        <v>164</v>
      </c>
    </row>
    <row r="14" spans="1:5" ht="15" customHeight="1" x14ac:dyDescent="0.2">
      <c r="A14" t="s">
        <v>4</v>
      </c>
    </row>
    <row r="16" spans="1:5" ht="15" customHeight="1" x14ac:dyDescent="0.2">
      <c r="B16" t="s">
        <v>165</v>
      </c>
      <c r="E16" t="s">
        <v>132</v>
      </c>
    </row>
    <row r="17" spans="2:5" ht="15" customHeight="1" x14ac:dyDescent="0.2">
      <c r="B17" t="s">
        <v>166</v>
      </c>
      <c r="E17" t="s">
        <v>149</v>
      </c>
    </row>
    <row r="18" spans="2:5" ht="15" customHeight="1" x14ac:dyDescent="0.2">
      <c r="B18" t="s">
        <v>167</v>
      </c>
      <c r="E18" t="s">
        <v>168</v>
      </c>
    </row>
    <row r="19" spans="2:5" ht="15" customHeight="1" x14ac:dyDescent="0.2">
      <c r="B19" t="s">
        <v>169</v>
      </c>
      <c r="E19" t="s">
        <v>149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Run log"/>
  <dimension ref="A1:E13"/>
  <sheetViews>
    <sheetView workbookViewId="0"/>
  </sheetViews>
  <sheetFormatPr defaultColWidth="9.140625" defaultRowHeight="15" customHeight="1" x14ac:dyDescent="0.2"/>
  <cols>
    <col min="1" max="1" width="8.7109375" customWidth="1"/>
    <col min="2" max="2" width="26.42578125" customWidth="1"/>
    <col min="3" max="3" width="67.28515625" customWidth="1"/>
    <col min="4" max="4" width="11.85546875" customWidth="1"/>
  </cols>
  <sheetData>
    <row r="1" spans="1:5" ht="15" customHeight="1" x14ac:dyDescent="0.2">
      <c r="A1" t="s">
        <v>170</v>
      </c>
    </row>
    <row r="3" spans="1:5" ht="15" customHeight="1" x14ac:dyDescent="0.2">
      <c r="B3" s="9" t="s">
        <v>171</v>
      </c>
      <c r="C3" s="9" t="s">
        <v>172</v>
      </c>
      <c r="D3" s="9" t="s">
        <v>173</v>
      </c>
      <c r="E3" s="9"/>
    </row>
    <row r="4" spans="1:5" ht="15" customHeight="1" x14ac:dyDescent="0.2">
      <c r="B4" t="s">
        <v>2</v>
      </c>
      <c r="C4" t="s">
        <v>174</v>
      </c>
    </row>
    <row r="5" spans="1:5" ht="15" customHeight="1" x14ac:dyDescent="0.2">
      <c r="B5" t="s">
        <v>175</v>
      </c>
      <c r="C5" t="s">
        <v>176</v>
      </c>
      <c r="D5" t="s">
        <v>177</v>
      </c>
    </row>
    <row r="6" spans="1:5" ht="15" customHeight="1" x14ac:dyDescent="0.2">
      <c r="B6" t="s">
        <v>175</v>
      </c>
      <c r="C6" t="s">
        <v>178</v>
      </c>
    </row>
    <row r="7" spans="1:5" ht="15" customHeight="1" x14ac:dyDescent="0.2">
      <c r="B7" t="s">
        <v>179</v>
      </c>
      <c r="C7" t="s">
        <v>176</v>
      </c>
      <c r="D7" t="s">
        <v>177</v>
      </c>
    </row>
    <row r="8" spans="1:5" ht="15" customHeight="1" x14ac:dyDescent="0.2">
      <c r="B8" t="s">
        <v>180</v>
      </c>
      <c r="C8" t="s">
        <v>181</v>
      </c>
    </row>
    <row r="9" spans="1:5" ht="15" customHeight="1" x14ac:dyDescent="0.2">
      <c r="B9" t="s">
        <v>180</v>
      </c>
      <c r="C9" t="s">
        <v>182</v>
      </c>
    </row>
    <row r="10" spans="1:5" ht="15" customHeight="1" x14ac:dyDescent="0.2">
      <c r="B10" t="s">
        <v>183</v>
      </c>
      <c r="C10" t="s">
        <v>184</v>
      </c>
    </row>
    <row r="11" spans="1:5" ht="15" customHeight="1" x14ac:dyDescent="0.2">
      <c r="B11" t="s">
        <v>183</v>
      </c>
      <c r="C11" t="s">
        <v>176</v>
      </c>
      <c r="D11" t="s">
        <v>177</v>
      </c>
    </row>
    <row r="12" spans="1:5" ht="15" customHeight="1" x14ac:dyDescent="0.2">
      <c r="B12" t="s">
        <v>185</v>
      </c>
      <c r="C12" t="s">
        <v>186</v>
      </c>
    </row>
    <row r="13" spans="1:5" ht="15" customHeight="1" x14ac:dyDescent="0.2">
      <c r="A13" t="s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Layout definitions"/>
  <dimension ref="A1:M33"/>
  <sheetViews>
    <sheetView workbookViewId="0"/>
  </sheetViews>
  <sheetFormatPr defaultColWidth="9.140625" defaultRowHeight="15" customHeight="1" x14ac:dyDescent="0.2"/>
  <sheetData>
    <row r="1" spans="1:13" ht="15" customHeight="1" x14ac:dyDescent="0.2">
      <c r="A1" t="s">
        <v>99</v>
      </c>
      <c r="B1" t="s">
        <v>6</v>
      </c>
    </row>
    <row r="2" spans="1:13" ht="15" customHeight="1" x14ac:dyDescent="0.2">
      <c r="A2" t="s">
        <v>187</v>
      </c>
      <c r="B2" t="s">
        <v>188</v>
      </c>
    </row>
    <row r="4" spans="1:13" ht="15" customHeight="1" x14ac:dyDescent="0.2">
      <c r="B4" s="10">
        <v>1</v>
      </c>
      <c r="C4" s="10">
        <v>2</v>
      </c>
      <c r="D4" s="10">
        <v>3</v>
      </c>
      <c r="E4" s="10">
        <v>4</v>
      </c>
      <c r="F4" s="10">
        <v>5</v>
      </c>
      <c r="G4" s="10">
        <v>6</v>
      </c>
      <c r="H4" s="10">
        <v>7</v>
      </c>
      <c r="I4" s="10">
        <v>8</v>
      </c>
      <c r="J4" s="10">
        <v>9</v>
      </c>
      <c r="K4" s="10">
        <v>10</v>
      </c>
      <c r="L4" s="10">
        <v>11</v>
      </c>
      <c r="M4" s="10">
        <v>12</v>
      </c>
    </row>
    <row r="5" spans="1:13" ht="15" customHeight="1" x14ac:dyDescent="0.2">
      <c r="A5" s="36" t="s">
        <v>8</v>
      </c>
      <c r="B5" s="37"/>
      <c r="C5" s="37"/>
      <c r="D5" s="37"/>
      <c r="E5" s="37"/>
      <c r="F5" s="37"/>
      <c r="G5" s="37"/>
      <c r="H5" s="11" t="s">
        <v>17</v>
      </c>
      <c r="I5" s="11" t="s">
        <v>17</v>
      </c>
      <c r="J5" s="12" t="s">
        <v>18</v>
      </c>
      <c r="K5" s="12" t="s">
        <v>18</v>
      </c>
      <c r="L5" s="12" t="s">
        <v>19</v>
      </c>
      <c r="M5" s="12" t="s">
        <v>19</v>
      </c>
    </row>
    <row r="6" spans="1:13" ht="15" customHeight="1" x14ac:dyDescent="0.2">
      <c r="A6" s="37"/>
      <c r="B6" s="37"/>
      <c r="C6" s="37"/>
      <c r="D6" s="37"/>
      <c r="E6" s="37"/>
      <c r="F6" s="37"/>
      <c r="G6" s="37"/>
      <c r="H6" s="13" t="s">
        <v>189</v>
      </c>
      <c r="I6" s="13" t="s">
        <v>189</v>
      </c>
      <c r="J6" s="14" t="s">
        <v>189</v>
      </c>
      <c r="K6" s="14" t="s">
        <v>189</v>
      </c>
      <c r="L6" s="14" t="s">
        <v>189</v>
      </c>
      <c r="M6" s="14" t="s">
        <v>189</v>
      </c>
    </row>
    <row r="7" spans="1:13" ht="15" customHeight="1" x14ac:dyDescent="0.2">
      <c r="A7" s="37"/>
      <c r="B7" s="37"/>
      <c r="C7" s="37"/>
      <c r="D7" s="37"/>
      <c r="E7" s="37"/>
      <c r="F7" s="37"/>
      <c r="G7" s="37"/>
      <c r="H7" s="15" t="s">
        <v>190</v>
      </c>
      <c r="I7" s="15" t="s">
        <v>190</v>
      </c>
      <c r="J7" s="16" t="s">
        <v>191</v>
      </c>
      <c r="K7" s="16" t="s">
        <v>191</v>
      </c>
      <c r="L7" s="16" t="s">
        <v>191</v>
      </c>
      <c r="M7" s="16" t="s">
        <v>191</v>
      </c>
    </row>
    <row r="8" spans="1:13" ht="15" customHeight="1" x14ac:dyDescent="0.2">
      <c r="A8" s="36" t="s">
        <v>9</v>
      </c>
      <c r="B8" s="37"/>
      <c r="C8" s="37"/>
      <c r="D8" s="37"/>
      <c r="E8" s="37"/>
      <c r="F8" s="37"/>
      <c r="G8" s="37"/>
      <c r="H8" s="11" t="s">
        <v>20</v>
      </c>
      <c r="I8" s="11" t="s">
        <v>20</v>
      </c>
      <c r="J8" s="12" t="s">
        <v>21</v>
      </c>
      <c r="K8" s="12" t="s">
        <v>21</v>
      </c>
      <c r="L8" s="12" t="s">
        <v>22</v>
      </c>
      <c r="M8" s="12" t="s">
        <v>22</v>
      </c>
    </row>
    <row r="9" spans="1:13" ht="15" customHeight="1" x14ac:dyDescent="0.2">
      <c r="A9" s="37"/>
      <c r="B9" s="37"/>
      <c r="C9" s="37"/>
      <c r="D9" s="37"/>
      <c r="E9" s="37"/>
      <c r="F9" s="37"/>
      <c r="G9" s="37"/>
      <c r="H9" s="13" t="s">
        <v>189</v>
      </c>
      <c r="I9" s="13" t="s">
        <v>189</v>
      </c>
      <c r="J9" s="14" t="s">
        <v>189</v>
      </c>
      <c r="K9" s="14" t="s">
        <v>189</v>
      </c>
      <c r="L9" s="14" t="s">
        <v>189</v>
      </c>
      <c r="M9" s="14" t="s">
        <v>189</v>
      </c>
    </row>
    <row r="10" spans="1:13" ht="15" customHeight="1" x14ac:dyDescent="0.2">
      <c r="A10" s="37"/>
      <c r="B10" s="37"/>
      <c r="C10" s="37"/>
      <c r="D10" s="37"/>
      <c r="E10" s="37"/>
      <c r="F10" s="37"/>
      <c r="G10" s="37"/>
      <c r="H10" s="15" t="s">
        <v>192</v>
      </c>
      <c r="I10" s="15" t="s">
        <v>192</v>
      </c>
      <c r="J10" s="16" t="s">
        <v>191</v>
      </c>
      <c r="K10" s="16" t="s">
        <v>191</v>
      </c>
      <c r="L10" s="16" t="s">
        <v>191</v>
      </c>
      <c r="M10" s="16" t="s">
        <v>191</v>
      </c>
    </row>
    <row r="11" spans="1:13" ht="15" customHeight="1" x14ac:dyDescent="0.2">
      <c r="A11" s="36" t="s">
        <v>10</v>
      </c>
      <c r="B11" s="37"/>
      <c r="C11" s="37"/>
      <c r="D11" s="37"/>
      <c r="E11" s="37"/>
      <c r="F11" s="37"/>
      <c r="G11" s="37"/>
      <c r="H11" s="11" t="s">
        <v>23</v>
      </c>
      <c r="I11" s="11" t="s">
        <v>23</v>
      </c>
      <c r="J11" s="12" t="s">
        <v>24</v>
      </c>
      <c r="K11" s="12" t="s">
        <v>24</v>
      </c>
      <c r="L11" s="12" t="s">
        <v>25</v>
      </c>
      <c r="M11" s="12" t="s">
        <v>25</v>
      </c>
    </row>
    <row r="12" spans="1:13" ht="15" customHeight="1" x14ac:dyDescent="0.2">
      <c r="A12" s="37"/>
      <c r="B12" s="37"/>
      <c r="C12" s="37"/>
      <c r="D12" s="37"/>
      <c r="E12" s="37"/>
      <c r="F12" s="37"/>
      <c r="G12" s="37"/>
      <c r="H12" s="13" t="s">
        <v>189</v>
      </c>
      <c r="I12" s="13" t="s">
        <v>189</v>
      </c>
      <c r="J12" s="14" t="s">
        <v>189</v>
      </c>
      <c r="K12" s="14" t="s">
        <v>189</v>
      </c>
      <c r="L12" s="14" t="s">
        <v>189</v>
      </c>
      <c r="M12" s="14" t="s">
        <v>189</v>
      </c>
    </row>
    <row r="13" spans="1:13" ht="15" customHeight="1" x14ac:dyDescent="0.2">
      <c r="A13" s="37"/>
      <c r="B13" s="37"/>
      <c r="C13" s="37"/>
      <c r="D13" s="37"/>
      <c r="E13" s="37"/>
      <c r="F13" s="37"/>
      <c r="G13" s="37"/>
      <c r="H13" s="15" t="s">
        <v>193</v>
      </c>
      <c r="I13" s="15" t="s">
        <v>193</v>
      </c>
      <c r="J13" s="16" t="s">
        <v>191</v>
      </c>
      <c r="K13" s="16" t="s">
        <v>191</v>
      </c>
      <c r="L13" s="16" t="s">
        <v>191</v>
      </c>
      <c r="M13" s="16" t="s">
        <v>191</v>
      </c>
    </row>
    <row r="14" spans="1:13" ht="15" customHeight="1" x14ac:dyDescent="0.2">
      <c r="A14" s="36" t="s">
        <v>11</v>
      </c>
      <c r="B14" s="37"/>
      <c r="C14" s="37"/>
      <c r="D14" s="37"/>
      <c r="E14" s="37"/>
      <c r="F14" s="37"/>
      <c r="G14" s="37"/>
      <c r="H14" s="11" t="s">
        <v>26</v>
      </c>
      <c r="I14" s="11" t="s">
        <v>26</v>
      </c>
      <c r="J14" s="12" t="s">
        <v>27</v>
      </c>
      <c r="K14" s="12" t="s">
        <v>27</v>
      </c>
      <c r="L14" s="12" t="s">
        <v>28</v>
      </c>
      <c r="M14" s="12" t="s">
        <v>28</v>
      </c>
    </row>
    <row r="15" spans="1:13" ht="15" customHeight="1" x14ac:dyDescent="0.2">
      <c r="A15" s="37"/>
      <c r="B15" s="37"/>
      <c r="C15" s="37"/>
      <c r="D15" s="37"/>
      <c r="E15" s="37"/>
      <c r="F15" s="37"/>
      <c r="G15" s="37"/>
      <c r="H15" s="13" t="s">
        <v>189</v>
      </c>
      <c r="I15" s="13" t="s">
        <v>189</v>
      </c>
      <c r="J15" s="14" t="s">
        <v>189</v>
      </c>
      <c r="K15" s="14" t="s">
        <v>189</v>
      </c>
      <c r="L15" s="14" t="s">
        <v>189</v>
      </c>
      <c r="M15" s="14" t="s">
        <v>189</v>
      </c>
    </row>
    <row r="16" spans="1:13" ht="15" customHeight="1" x14ac:dyDescent="0.2">
      <c r="A16" s="37"/>
      <c r="B16" s="37"/>
      <c r="C16" s="37"/>
      <c r="D16" s="37"/>
      <c r="E16" s="37"/>
      <c r="F16" s="37"/>
      <c r="G16" s="37"/>
      <c r="H16" s="15" t="s">
        <v>194</v>
      </c>
      <c r="I16" s="15" t="s">
        <v>194</v>
      </c>
      <c r="J16" s="16" t="s">
        <v>191</v>
      </c>
      <c r="K16" s="16" t="s">
        <v>191</v>
      </c>
      <c r="L16" s="16" t="s">
        <v>191</v>
      </c>
      <c r="M16" s="16" t="s">
        <v>191</v>
      </c>
    </row>
    <row r="17" spans="1:13" ht="15" customHeight="1" x14ac:dyDescent="0.2">
      <c r="A17" s="36" t="s">
        <v>12</v>
      </c>
      <c r="B17" s="37"/>
      <c r="C17" s="37"/>
      <c r="D17" s="37"/>
      <c r="E17" s="37"/>
      <c r="F17" s="37"/>
      <c r="G17" s="37"/>
      <c r="H17" s="11" t="s">
        <v>29</v>
      </c>
      <c r="I17" s="11" t="s">
        <v>29</v>
      </c>
      <c r="J17" s="12" t="s">
        <v>30</v>
      </c>
      <c r="K17" s="12" t="s">
        <v>30</v>
      </c>
      <c r="L17" s="12" t="s">
        <v>31</v>
      </c>
      <c r="M17" s="12" t="s">
        <v>31</v>
      </c>
    </row>
    <row r="18" spans="1:13" ht="15" customHeight="1" x14ac:dyDescent="0.2">
      <c r="A18" s="37"/>
      <c r="B18" s="37"/>
      <c r="C18" s="37"/>
      <c r="D18" s="37"/>
      <c r="E18" s="37"/>
      <c r="F18" s="37"/>
      <c r="G18" s="37"/>
      <c r="H18" s="13" t="s">
        <v>189</v>
      </c>
      <c r="I18" s="13" t="s">
        <v>189</v>
      </c>
      <c r="J18" s="14" t="s">
        <v>189</v>
      </c>
      <c r="K18" s="14" t="s">
        <v>189</v>
      </c>
      <c r="L18" s="14" t="s">
        <v>189</v>
      </c>
      <c r="M18" s="14" t="s">
        <v>189</v>
      </c>
    </row>
    <row r="19" spans="1:13" ht="15" customHeight="1" x14ac:dyDescent="0.2">
      <c r="A19" s="37"/>
      <c r="B19" s="37"/>
      <c r="C19" s="37"/>
      <c r="D19" s="37"/>
      <c r="E19" s="37"/>
      <c r="F19" s="37"/>
      <c r="G19" s="37"/>
      <c r="H19" s="15" t="s">
        <v>195</v>
      </c>
      <c r="I19" s="15" t="s">
        <v>195</v>
      </c>
      <c r="J19" s="16" t="s">
        <v>191</v>
      </c>
      <c r="K19" s="16" t="s">
        <v>191</v>
      </c>
      <c r="L19" s="16" t="s">
        <v>191</v>
      </c>
      <c r="M19" s="16" t="s">
        <v>191</v>
      </c>
    </row>
    <row r="20" spans="1:13" ht="15" customHeight="1" x14ac:dyDescent="0.2">
      <c r="A20" s="36" t="s">
        <v>13</v>
      </c>
      <c r="B20" s="37"/>
      <c r="C20" s="37"/>
      <c r="D20" s="37"/>
      <c r="E20" s="37"/>
      <c r="F20" s="37"/>
      <c r="G20" s="37"/>
      <c r="H20" s="11" t="s">
        <v>32</v>
      </c>
      <c r="I20" s="11" t="s">
        <v>32</v>
      </c>
      <c r="J20" s="12" t="s">
        <v>33</v>
      </c>
      <c r="K20" s="12" t="s">
        <v>33</v>
      </c>
      <c r="L20" s="12" t="s">
        <v>34</v>
      </c>
      <c r="M20" s="12" t="s">
        <v>34</v>
      </c>
    </row>
    <row r="21" spans="1:13" ht="15" customHeight="1" x14ac:dyDescent="0.2">
      <c r="A21" s="37"/>
      <c r="B21" s="37"/>
      <c r="C21" s="37"/>
      <c r="D21" s="37"/>
      <c r="E21" s="37"/>
      <c r="F21" s="37"/>
      <c r="G21" s="37"/>
      <c r="H21" s="13" t="s">
        <v>189</v>
      </c>
      <c r="I21" s="13" t="s">
        <v>189</v>
      </c>
      <c r="J21" s="14" t="s">
        <v>189</v>
      </c>
      <c r="K21" s="14" t="s">
        <v>189</v>
      </c>
      <c r="L21" s="14" t="s">
        <v>189</v>
      </c>
      <c r="M21" s="14" t="s">
        <v>189</v>
      </c>
    </row>
    <row r="22" spans="1:13" ht="15" customHeight="1" x14ac:dyDescent="0.2">
      <c r="A22" s="37"/>
      <c r="B22" s="37"/>
      <c r="C22" s="37"/>
      <c r="D22" s="37"/>
      <c r="E22" s="37"/>
      <c r="F22" s="37"/>
      <c r="G22" s="37"/>
      <c r="H22" s="15" t="s">
        <v>196</v>
      </c>
      <c r="I22" s="15" t="s">
        <v>196</v>
      </c>
      <c r="J22" s="16" t="s">
        <v>191</v>
      </c>
      <c r="K22" s="16" t="s">
        <v>191</v>
      </c>
      <c r="L22" s="16" t="s">
        <v>191</v>
      </c>
      <c r="M22" s="16" t="s">
        <v>191</v>
      </c>
    </row>
    <row r="23" spans="1:13" ht="15" customHeight="1" x14ac:dyDescent="0.2">
      <c r="A23" s="36" t="s">
        <v>14</v>
      </c>
      <c r="B23" s="37"/>
      <c r="C23" s="37"/>
      <c r="D23" s="37"/>
      <c r="E23" s="37"/>
      <c r="F23" s="37"/>
      <c r="G23" s="37"/>
      <c r="H23" s="11" t="s">
        <v>35</v>
      </c>
      <c r="I23" s="11" t="s">
        <v>35</v>
      </c>
      <c r="J23" s="12" t="s">
        <v>36</v>
      </c>
      <c r="K23" s="12" t="s">
        <v>36</v>
      </c>
      <c r="L23" s="12" t="s">
        <v>37</v>
      </c>
      <c r="M23" s="12" t="s">
        <v>37</v>
      </c>
    </row>
    <row r="24" spans="1:13" ht="15" customHeight="1" x14ac:dyDescent="0.2">
      <c r="A24" s="37"/>
      <c r="B24" s="37"/>
      <c r="C24" s="37"/>
      <c r="D24" s="37"/>
      <c r="E24" s="37"/>
      <c r="F24" s="37"/>
      <c r="G24" s="37"/>
      <c r="H24" s="13" t="s">
        <v>189</v>
      </c>
      <c r="I24" s="13" t="s">
        <v>189</v>
      </c>
      <c r="J24" s="14" t="s">
        <v>189</v>
      </c>
      <c r="K24" s="14" t="s">
        <v>189</v>
      </c>
      <c r="L24" s="14" t="s">
        <v>189</v>
      </c>
      <c r="M24" s="14" t="s">
        <v>189</v>
      </c>
    </row>
    <row r="25" spans="1:13" ht="15" customHeight="1" x14ac:dyDescent="0.2">
      <c r="A25" s="37"/>
      <c r="B25" s="37"/>
      <c r="C25" s="37"/>
      <c r="D25" s="37"/>
      <c r="E25" s="37"/>
      <c r="F25" s="37"/>
      <c r="G25" s="37"/>
      <c r="H25" s="15" t="s">
        <v>197</v>
      </c>
      <c r="I25" s="15" t="s">
        <v>197</v>
      </c>
      <c r="J25" s="16" t="s">
        <v>191</v>
      </c>
      <c r="K25" s="16" t="s">
        <v>191</v>
      </c>
      <c r="L25" s="16" t="s">
        <v>191</v>
      </c>
      <c r="M25" s="16" t="s">
        <v>191</v>
      </c>
    </row>
    <row r="26" spans="1:13" ht="15" customHeight="1" x14ac:dyDescent="0.2">
      <c r="A26" s="36" t="s">
        <v>15</v>
      </c>
      <c r="B26" s="37"/>
      <c r="C26" s="37"/>
      <c r="D26" s="37"/>
      <c r="E26" s="37"/>
      <c r="F26" s="37"/>
      <c r="G26" s="37"/>
      <c r="H26" s="12" t="s">
        <v>38</v>
      </c>
      <c r="I26" s="17" t="s">
        <v>39</v>
      </c>
      <c r="J26" s="12" t="s">
        <v>40</v>
      </c>
      <c r="K26" s="12" t="s">
        <v>41</v>
      </c>
      <c r="L26" s="12" t="s">
        <v>42</v>
      </c>
      <c r="M26" s="12" t="s">
        <v>42</v>
      </c>
    </row>
    <row r="27" spans="1:13" ht="15" customHeight="1" x14ac:dyDescent="0.2">
      <c r="A27" s="37"/>
      <c r="B27" s="37"/>
      <c r="C27" s="37"/>
      <c r="D27" s="37"/>
      <c r="E27" s="37"/>
      <c r="F27" s="37"/>
      <c r="G27" s="37"/>
      <c r="H27" s="14" t="s">
        <v>189</v>
      </c>
      <c r="I27" s="18" t="s">
        <v>189</v>
      </c>
      <c r="J27" s="14" t="s">
        <v>189</v>
      </c>
      <c r="K27" s="14" t="s">
        <v>189</v>
      </c>
      <c r="L27" s="14" t="s">
        <v>189</v>
      </c>
      <c r="M27" s="14" t="s">
        <v>189</v>
      </c>
    </row>
    <row r="28" spans="1:13" ht="15" customHeight="1" x14ac:dyDescent="0.2">
      <c r="A28" s="37"/>
      <c r="B28" s="37"/>
      <c r="C28" s="37"/>
      <c r="D28" s="37"/>
      <c r="E28" s="37"/>
      <c r="F28" s="37"/>
      <c r="G28" s="37"/>
      <c r="H28" s="16" t="s">
        <v>191</v>
      </c>
      <c r="I28" s="19"/>
      <c r="J28" s="16" t="s">
        <v>191</v>
      </c>
      <c r="K28" s="16" t="s">
        <v>191</v>
      </c>
      <c r="L28" s="16" t="s">
        <v>191</v>
      </c>
      <c r="M28" s="16" t="s">
        <v>191</v>
      </c>
    </row>
    <row r="33" spans="1:1" ht="15" customHeight="1" x14ac:dyDescent="0.2">
      <c r="A33" t="s">
        <v>3</v>
      </c>
    </row>
  </sheetData>
  <mergeCells count="56">
    <mergeCell ref="G20:G22"/>
    <mergeCell ref="G23:G25"/>
    <mergeCell ref="G26:G28"/>
    <mergeCell ref="G5:G7"/>
    <mergeCell ref="G8:G10"/>
    <mergeCell ref="G11:G13"/>
    <mergeCell ref="G14:G16"/>
    <mergeCell ref="G17:G19"/>
    <mergeCell ref="E20:E22"/>
    <mergeCell ref="E23:E25"/>
    <mergeCell ref="E26:E28"/>
    <mergeCell ref="F5:F7"/>
    <mergeCell ref="F8:F10"/>
    <mergeCell ref="F11:F13"/>
    <mergeCell ref="F14:F16"/>
    <mergeCell ref="F17:F19"/>
    <mergeCell ref="F20:F22"/>
    <mergeCell ref="F23:F25"/>
    <mergeCell ref="F26:F28"/>
    <mergeCell ref="E5:E7"/>
    <mergeCell ref="E8:E10"/>
    <mergeCell ref="E11:E13"/>
    <mergeCell ref="E14:E16"/>
    <mergeCell ref="E17:E19"/>
    <mergeCell ref="C20:C22"/>
    <mergeCell ref="C23:C25"/>
    <mergeCell ref="C26:C28"/>
    <mergeCell ref="D5:D7"/>
    <mergeCell ref="D8:D10"/>
    <mergeCell ref="D11:D13"/>
    <mergeCell ref="D14:D16"/>
    <mergeCell ref="D17:D19"/>
    <mergeCell ref="D20:D22"/>
    <mergeCell ref="D23:D25"/>
    <mergeCell ref="D26:D28"/>
    <mergeCell ref="C5:C7"/>
    <mergeCell ref="C8:C10"/>
    <mergeCell ref="C11:C13"/>
    <mergeCell ref="C14:C16"/>
    <mergeCell ref="C17:C19"/>
    <mergeCell ref="A20:A22"/>
    <mergeCell ref="A23:A25"/>
    <mergeCell ref="A26:A28"/>
    <mergeCell ref="B5:B7"/>
    <mergeCell ref="B8:B10"/>
    <mergeCell ref="B11:B13"/>
    <mergeCell ref="B14:B16"/>
    <mergeCell ref="B17:B19"/>
    <mergeCell ref="B20:B22"/>
    <mergeCell ref="B23:B25"/>
    <mergeCell ref="B26:B28"/>
    <mergeCell ref="A5:A7"/>
    <mergeCell ref="A8:A10"/>
    <mergeCell ref="A11:A13"/>
    <mergeCell ref="A14:A16"/>
    <mergeCell ref="A17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Absorbance 1_01</vt:lpstr>
      <vt:lpstr>Standard Curve 1_02</vt:lpstr>
      <vt:lpstr>Blank Subtraction 1_03</vt:lpstr>
      <vt:lpstr>Standard Curve 2_04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Afsar, Md Nure Alam</cp:lastModifiedBy>
  <dcterms:created xsi:type="dcterms:W3CDTF">2026-09-24T19:02:28Z</dcterms:created>
  <dcterms:modified xsi:type="dcterms:W3CDTF">2026-10-08T16:40:55Z</dcterms:modified>
</cp:coreProperties>
</file>