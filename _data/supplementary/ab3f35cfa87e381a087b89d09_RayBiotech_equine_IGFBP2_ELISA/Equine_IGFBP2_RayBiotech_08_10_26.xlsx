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"/>
    </mc:Choice>
  </mc:AlternateContent>
  <xr:revisionPtr revIDLastSave="115" documentId="13_ncr:1_{55AD375A-B4D5-4796-A34C-236D39F262B5}" xr6:coauthVersionLast="47" xr6:coauthVersionMax="47" xr10:uidLastSave="{26CB9A11-0CFC-45DB-8118-6BB318CC54B2}"/>
  <bookViews>
    <workbookView xWindow="-120" yWindow="-120" windowWidth="29040" windowHeight="15720" firstSheet="1" activeTab="3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Standard Curve 2_04" sheetId="4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/>
  <c r="J14" i="1"/>
  <c r="J15" i="1"/>
  <c r="J16" i="1"/>
  <c r="J17" i="1"/>
  <c r="J18" i="1"/>
  <c r="J11" i="1"/>
  <c r="J100" i="4"/>
  <c r="I91" i="4"/>
  <c r="J91" i="4" s="1"/>
  <c r="I92" i="4"/>
  <c r="J92" i="4" s="1"/>
  <c r="I93" i="4"/>
  <c r="J93" i="4" s="1"/>
  <c r="J99" i="4"/>
  <c r="J98" i="4"/>
  <c r="J97" i="4"/>
  <c r="I90" i="4"/>
  <c r="J90" i="4" s="1"/>
</calcChain>
</file>

<file path=xl/sharedStrings.xml><?xml version="1.0" encoding="utf-8"?>
<sst xmlns="http://schemas.openxmlformats.org/spreadsheetml/2006/main" count="752" uniqueCount="233">
  <si>
    <t>Measurement results</t>
  </si>
  <si>
    <t>Equine_IGFBP2_RayBiotech_08_10_26 (1).skax</t>
  </si>
  <si>
    <t>2026-08-10T16:37:20-05:00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</si>
  <si>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</si>
  <si>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</si>
  <si>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</si>
  <si>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</si>
  <si>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</si>
  <si>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</si>
  <si>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</si>
  <si>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</si>
  <si>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</si>
  <si>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</si>
  <si>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</si>
  <si>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</si>
  <si>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</si>
  <si>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</si>
  <si>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</si>
  <si>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Std10002</t>
  </si>
  <si>
    <t>Un0001</t>
  </si>
  <si>
    <t>Un0002</t>
  </si>
  <si>
    <t>Std60001</t>
  </si>
  <si>
    <t>Un0003</t>
  </si>
  <si>
    <t>Un0004</t>
  </si>
  <si>
    <t>Std50001</t>
  </si>
  <si>
    <t>Un0005</t>
  </si>
  <si>
    <t>Un0006</t>
  </si>
  <si>
    <t>Std40001</t>
  </si>
  <si>
    <t>Un0007</t>
  </si>
  <si>
    <t>Un0008</t>
  </si>
  <si>
    <t>Std30001</t>
  </si>
  <si>
    <t>Un0009</t>
  </si>
  <si>
    <t>Un0010</t>
  </si>
  <si>
    <t>Std20001</t>
  </si>
  <si>
    <t>Un0011</t>
  </si>
  <si>
    <t>Un0012</t>
  </si>
  <si>
    <t>Std10001</t>
  </si>
  <si>
    <t>Std70002</t>
  </si>
  <si>
    <t>Un0013</t>
  </si>
  <si>
    <t>Un0014</t>
  </si>
  <si>
    <t>Blank1</t>
  </si>
  <si>
    <t>Un0015</t>
  </si>
  <si>
    <t>Un0016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</si>
  <si>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</si>
  <si>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</si>
  <si>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</si>
  <si>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</si>
  <si>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</si>
  <si>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</si>
  <si>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</si>
  <si>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1.19488E+06 + ( (0.117035 - 1.19488E+06) / ( 1 + (x/4.90824E+06)^1.08089) )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</si>
  <si>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</si>
  <si>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</si>
  <si>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</si>
  <si>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</si>
  <si>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</si>
  <si>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</si>
  <si>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</si>
  <si>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</si>
  <si>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 [ng/mL]</t>
  </si>
  <si>
    <t>Original signal</t>
  </si>
  <si>
    <t>CV%</t>
  </si>
  <si>
    <t>Fitted signal</t>
  </si>
  <si>
    <t>Residual</t>
  </si>
  <si>
    <t>Average</t>
  </si>
  <si>
    <t>NaN</t>
  </si>
  <si>
    <t>G01</t>
  </si>
  <si>
    <t>A02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</si>
  <si>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</si>
  <si>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</si>
  <si>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</si>
  <si>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</si>
  <si>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</si>
  <si>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</si>
  <si>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</si>
  <si>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</si>
  <si>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</si>
  <si>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</si>
  <si>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</si>
  <si>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G02</t>
  </si>
  <si>
    <t>Signal</t>
  </si>
  <si>
    <t>Autoloading range A1 - M103</t>
  </si>
  <si>
    <t>Blank Subtraction 1</t>
  </si>
  <si>
    <t>Blank subtracted</t>
  </si>
  <si>
    <t>Autoloading range A1 - M31</t>
  </si>
  <si>
    <t>Standard Curve 2</t>
  </si>
  <si>
    <t>y = 1.09544E+06 + ( (-0.000401608 - 1.09544E+06) / ( 1 + (x/4.52911E+06)^1.08089)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</si>
  <si>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</si>
  <si>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</si>
  <si>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</si>
  <si>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</si>
  <si>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</si>
  <si>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</si>
  <si>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</si>
  <si>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</si>
  <si>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Equine_IGFBP2_RayBiotech_08_10_2026_2nd trial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</si>
  <si>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</si>
  <si>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</si>
  <si>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</si>
  <si>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</si>
  <si>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</si>
  <si>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</si>
  <si>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</si>
  <si>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</si>
  <si>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</si>
  <si>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</si>
  <si>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</si>
  <si>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</si>
  <si>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</si>
  <si>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</si>
  <si>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</si>
  <si>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</si>
  <si>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</si>
  <si>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</si>
  <si>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</si>
  <si>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</si>
  <si>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</si>
  <si>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</si>
  <si>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</si>
  <si>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</si>
  <si>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</si>
  <si>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</si>
  <si>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</si>
  <si>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</si>
  <si>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</si>
  <si>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</si>
  <si>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</si>
  <si>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</si>
  <si>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</si>
  <si>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</si>
  <si>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</si>
  <si>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</si>
  <si>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</si>
  <si>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</si>
  <si>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</si>
  <si>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</si>
  <si>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</si>
  <si>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</si>
  <si>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</si>
  <si>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</si>
  <si>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</si>
  <si>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</si>
  <si>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</si>
  <si>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</si>
  <si>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</si>
  <si>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</si>
  <si>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</si>
  <si>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</si>
  <si>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</si>
  <si>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</si>
  <si>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</si>
  <si>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</si>
  <si>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</si>
  <si>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</si>
  <si>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</si>
  <si>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</si>
  <si>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</si>
  <si>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</si>
  <si>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</si>
  <si>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</si>
  <si>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</si>
  <si>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</si>
  <si>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</si>
  <si>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</si>
  <si>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</si>
  <si>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</si>
  <si>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</si>
  <si>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</si>
  <si>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</si>
  <si>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</si>
  <si>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</si>
  <si>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</si>
  <si>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</si>
  <si>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</si>
  <si>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</si>
  <si>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Equine_IGFBP2_RayBiotech_08_10_26 (1).skax started</t>
  </si>
  <si>
    <t>2026-08-10T16:37:21-05:00</t>
  </si>
  <si>
    <t>Temperature</t>
  </si>
  <si>
    <t>37.0°C</t>
  </si>
  <si>
    <t>Step Shake 1 started</t>
  </si>
  <si>
    <t>2026-08-10T16:37:44-05:00</t>
  </si>
  <si>
    <t>Step Shake 1 ended</t>
  </si>
  <si>
    <t>Step Absorbance 1 started</t>
  </si>
  <si>
    <t>2026-08-10T16:38:01-05:00</t>
  </si>
  <si>
    <t>Step Absorbance 1 ended</t>
  </si>
  <si>
    <t>2026-08-10T16:38:02-05:00</t>
  </si>
  <si>
    <t>2026-08-10T16:38:04-05:00</t>
  </si>
  <si>
    <t>2026-08-10T16:38:07-05:00</t>
  </si>
  <si>
    <t>Session Equine_IGFBP2_RayBiotech_08_10_26 (1).skax ended</t>
  </si>
  <si>
    <t>Plate template</t>
  </si>
  <si>
    <t>ANSI/SBS Standard, 96-well</t>
  </si>
  <si>
    <t>Group 1</t>
  </si>
  <si>
    <t>0.1090143805378418482344102179 ng/mL</t>
  </si>
  <si>
    <t>12.5 ng/mL</t>
  </si>
  <si>
    <t>1:1</t>
  </si>
  <si>
    <t>0.2398316371832520661157024793 ng/mL</t>
  </si>
  <si>
    <t>0.5276296018031545454545454545 ng/mL</t>
  </si>
  <si>
    <t>1.16078512396694 ng/mL</t>
  </si>
  <si>
    <t>2.55372727272727 ng/mL</t>
  </si>
  <si>
    <t>5.6182 ng/mL</t>
  </si>
  <si>
    <t>Std7 0.11</t>
  </si>
  <si>
    <t>Serum 100X</t>
  </si>
  <si>
    <t>Std 0.243</t>
  </si>
  <si>
    <t>Serum 200X</t>
  </si>
  <si>
    <t>Std5 0.534</t>
  </si>
  <si>
    <t>Serum 400X</t>
  </si>
  <si>
    <t>Std4 1.174</t>
  </si>
  <si>
    <t>Std3 2.583</t>
  </si>
  <si>
    <t>SP1 3.125</t>
  </si>
  <si>
    <t>Std2 5.682</t>
  </si>
  <si>
    <t>SP2 1.5625</t>
  </si>
  <si>
    <t>Std1 12.5</t>
  </si>
  <si>
    <t>Serum 50X</t>
  </si>
  <si>
    <t>SP3 0.78125</t>
  </si>
  <si>
    <t>SP4 0.391</t>
  </si>
  <si>
    <t>Dilution factor</t>
  </si>
  <si>
    <t>Measured</t>
  </si>
  <si>
    <t>Corrected</t>
  </si>
  <si>
    <t>Recovery (%)</t>
  </si>
  <si>
    <t xml:space="preserve"> 100X is considered as a reliable dilution</t>
  </si>
  <si>
    <t>Expected</t>
  </si>
  <si>
    <t>Experimental</t>
  </si>
  <si>
    <t>Spike 1</t>
  </si>
  <si>
    <t>Spike 2</t>
  </si>
  <si>
    <t>Spike 3</t>
  </si>
  <si>
    <t>Spike 4</t>
  </si>
  <si>
    <t>Spikes Preparation</t>
  </si>
  <si>
    <t>Vol (uL) of standard (12.5 ng/mL)</t>
  </si>
  <si>
    <t>Vol (uL) of sample</t>
  </si>
  <si>
    <t>Calculation of dilution linearity recovery</t>
  </si>
  <si>
    <t>Calculation of spike recovery</t>
  </si>
  <si>
    <t>For the spikes preperation I have used 100X diluted serum sample</t>
  </si>
  <si>
    <t>Notes,  "SP1 3.125 = Spike 1 which calibrator concentration is 3.125 ng/mL"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</si>
</sst>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0000"/>
    <numFmt numFmtId="167" formatCode="0.0000000"/>
    <numFmt numFmtId="168" formatCode="0.00000000"/>
    <numFmt numFmtId="169" formatCode="0.000000000"/>
  </numFmts>
  <fonts count="2" x14ac:knownFonts="1"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9" fontId="1" fillId="0" borderId="5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5" borderId="0" xfId="0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9</xdr:col>
      <xdr:colOff>47625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758825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J30"/>
  <sheetViews>
    <sheetView topLeftCell="A7" workbookViewId="0">
      <selection activeCell="J11" sqref="J11:J18"/>
    </sheetView>
  </sheetViews>
  <sheetFormatPr defaultColWidth="9.140625" defaultRowHeight="15" customHeight="1" x14ac:dyDescent="0.2"/>
  <cols>
    <col min="1" max="1" width="12.28515625" customWidth="1"/>
    <col min="2" max="5" width="15.5703125" customWidth="1"/>
    <col min="6" max="6" width="3.140625" customWidth="1"/>
  </cols>
  <sheetData>
    <row r="1" spans="1:10" ht="15" customHeight="1" x14ac:dyDescent="0.2">
      <c r="A1" t="s">
        <v>0</v>
      </c>
    </row>
    <row r="2" spans="1:10" ht="15" customHeight="1" x14ac:dyDescent="0.2">
      <c r="A2" t="s">
        <v>1</v>
      </c>
    </row>
    <row r="3" spans="1:10" ht="15" customHeight="1" x14ac:dyDescent="0.2">
      <c r="A3" t="s">
        <v>2</v>
      </c>
    </row>
    <row r="4" spans="1:10" ht="15" customHeight="1" x14ac:dyDescent="0.2">
      <c r="A4" t="s">
        <v>3</v>
      </c>
    </row>
    <row r="5" spans="1:10" ht="15" customHeight="1" x14ac:dyDescent="0.2">
      <c r="A5" t="s">
        <v>4</v>
      </c>
    </row>
    <row r="6" spans="1:10" ht="15" customHeight="1" x14ac:dyDescent="0.2">
      <c r="A6" t="s">
        <v>5</v>
      </c>
    </row>
    <row r="7" spans="1:10" ht="15" customHeight="1" x14ac:dyDescent="0.2">
      <c r="A7" t="s">
        <v>3</v>
      </c>
    </row>
    <row r="8" spans="1:10" ht="15" customHeight="1" x14ac:dyDescent="0.2">
      <c r="A8" t="s">
        <v>6</v>
      </c>
    </row>
    <row r="9" spans="1:10" ht="15" customHeight="1" x14ac:dyDescent="0.2">
      <c r="A9" t="s">
        <v>3</v>
      </c>
    </row>
    <row r="10" spans="1:10" ht="15" customHeight="1" x14ac:dyDescent="0.2">
      <c r="A10" s="20" t="s">
        <v>7</v>
      </c>
      <c r="B10" s="21">
        <v>1</v>
      </c>
      <c r="C10" s="21">
        <v>2</v>
      </c>
      <c r="D10" s="21">
        <v>3</v>
      </c>
      <c r="E10" s="21">
        <v>4</v>
      </c>
      <c r="F10" s="1">
        <v>5</v>
      </c>
      <c r="H10" s="4"/>
    </row>
    <row r="11" spans="1:10" ht="15" customHeight="1" x14ac:dyDescent="0.2">
      <c r="A11" s="20" t="s">
        <v>8</v>
      </c>
      <c r="B11" s="22">
        <v>0.12820000000000001</v>
      </c>
      <c r="C11" s="22">
        <v>1.1632</v>
      </c>
      <c r="D11" s="22">
        <v>0.80600000000000005</v>
      </c>
      <c r="E11" s="22">
        <v>0.67249999999999999</v>
      </c>
      <c r="H11" s="22">
        <v>0.12820000000000001</v>
      </c>
      <c r="I11" s="22">
        <v>0.1226</v>
      </c>
      <c r="J11" s="4">
        <f>AVERAGE(H11:I11)</f>
        <v>0.12540000000000001</v>
      </c>
    </row>
    <row r="12" spans="1:10" ht="15" customHeight="1" x14ac:dyDescent="0.2">
      <c r="A12" s="20" t="s">
        <v>9</v>
      </c>
      <c r="B12" s="22">
        <v>0.13689999999999999</v>
      </c>
      <c r="C12" s="22">
        <v>0.1241</v>
      </c>
      <c r="D12" s="22">
        <v>0.41959999999999997</v>
      </c>
      <c r="E12" s="22">
        <v>0.37469999999999998</v>
      </c>
      <c r="H12" s="22">
        <v>0.13689999999999999</v>
      </c>
      <c r="I12" s="22">
        <v>0.1241</v>
      </c>
      <c r="J12" s="4">
        <f t="shared" ref="J12:J18" si="0">AVERAGE(H12:I12)</f>
        <v>0.1305</v>
      </c>
    </row>
    <row r="13" spans="1:10" ht="15" customHeight="1" x14ac:dyDescent="0.2">
      <c r="A13" s="20" t="s">
        <v>10</v>
      </c>
      <c r="B13" s="22">
        <v>0.14779999999999999</v>
      </c>
      <c r="C13" s="22">
        <v>0.14269999999999999</v>
      </c>
      <c r="D13" s="22">
        <v>0.24740000000000001</v>
      </c>
      <c r="E13" s="22">
        <v>0.2455</v>
      </c>
      <c r="H13" s="22">
        <v>0.14779999999999999</v>
      </c>
      <c r="I13" s="22">
        <v>0.14269999999999999</v>
      </c>
      <c r="J13" s="4">
        <f t="shared" si="0"/>
        <v>0.14524999999999999</v>
      </c>
    </row>
    <row r="14" spans="1:10" ht="15" customHeight="1" x14ac:dyDescent="0.2">
      <c r="A14" s="20" t="s">
        <v>11</v>
      </c>
      <c r="B14" s="22">
        <v>0.2051</v>
      </c>
      <c r="C14" s="22">
        <v>0.1875</v>
      </c>
      <c r="D14" s="22">
        <v>0.1817</v>
      </c>
      <c r="E14" s="22">
        <v>0.19420000000000001</v>
      </c>
      <c r="H14" s="22">
        <v>0.2051</v>
      </c>
      <c r="I14" s="22">
        <v>0.1875</v>
      </c>
      <c r="J14" s="4">
        <f t="shared" si="0"/>
        <v>0.1963</v>
      </c>
    </row>
    <row r="15" spans="1:10" ht="15" customHeight="1" x14ac:dyDescent="0.2">
      <c r="A15" s="20" t="s">
        <v>12</v>
      </c>
      <c r="B15" s="22">
        <v>0.33900000000000002</v>
      </c>
      <c r="C15" s="22">
        <v>0.32129999999999997</v>
      </c>
      <c r="D15" s="22">
        <v>0.68479999999999996</v>
      </c>
      <c r="E15" s="22">
        <v>0.64649999999999996</v>
      </c>
      <c r="H15" s="22">
        <v>0.33900000000000002</v>
      </c>
      <c r="I15" s="22">
        <v>0.32129999999999997</v>
      </c>
      <c r="J15" s="4">
        <f t="shared" si="0"/>
        <v>0.33015</v>
      </c>
    </row>
    <row r="16" spans="1:10" ht="15" customHeight="1" x14ac:dyDescent="0.2">
      <c r="A16" s="20" t="s">
        <v>13</v>
      </c>
      <c r="B16" s="22">
        <v>0.57040000000000002</v>
      </c>
      <c r="C16" s="22">
        <v>0.54149999999999998</v>
      </c>
      <c r="D16" s="22">
        <v>0.49659999999999999</v>
      </c>
      <c r="E16" s="22">
        <v>0.4975</v>
      </c>
      <c r="H16" s="22">
        <v>0.57040000000000002</v>
      </c>
      <c r="I16" s="22">
        <v>0.54149999999999998</v>
      </c>
      <c r="J16" s="4">
        <f t="shared" si="0"/>
        <v>0.55594999999999994</v>
      </c>
    </row>
    <row r="17" spans="1:10" ht="15" customHeight="1" x14ac:dyDescent="0.2">
      <c r="A17" s="20" t="s">
        <v>14</v>
      </c>
      <c r="B17" s="22">
        <v>1.2229000000000001</v>
      </c>
      <c r="C17" s="22">
        <v>0.1226</v>
      </c>
      <c r="D17" s="22">
        <v>0.49409999999999998</v>
      </c>
      <c r="E17" s="22">
        <v>0.43209999999999998</v>
      </c>
      <c r="H17" s="22">
        <v>1.2229000000000001</v>
      </c>
      <c r="I17" s="22">
        <v>1.1632</v>
      </c>
      <c r="J17" s="4">
        <f t="shared" si="0"/>
        <v>1.1930499999999999</v>
      </c>
    </row>
    <row r="18" spans="1:10" ht="15" customHeight="1" x14ac:dyDescent="0.2">
      <c r="A18" s="20" t="s">
        <v>15</v>
      </c>
      <c r="B18" s="22">
        <v>0.1182</v>
      </c>
      <c r="C18" s="22">
        <v>0.1167</v>
      </c>
      <c r="D18" s="22">
        <v>0.58130000000000004</v>
      </c>
      <c r="E18" s="22">
        <v>0.53590000000000004</v>
      </c>
      <c r="H18" s="22">
        <v>0.1182</v>
      </c>
      <c r="I18" s="22">
        <v>0.1167</v>
      </c>
      <c r="J18" s="4">
        <f t="shared" si="0"/>
        <v>0.11745</v>
      </c>
    </row>
    <row r="20" spans="1:10" ht="15" customHeight="1" x14ac:dyDescent="0.2">
      <c r="A20" s="20" t="s">
        <v>16</v>
      </c>
      <c r="B20" s="21">
        <v>1</v>
      </c>
      <c r="C20" s="21">
        <v>2</v>
      </c>
      <c r="D20" s="21">
        <v>3</v>
      </c>
      <c r="E20" s="21">
        <v>4</v>
      </c>
      <c r="F20" s="1">
        <v>5</v>
      </c>
    </row>
    <row r="21" spans="1:10" ht="15" customHeight="1" x14ac:dyDescent="0.2">
      <c r="A21" s="20" t="s">
        <v>8</v>
      </c>
      <c r="B21" s="20" t="s">
        <v>200</v>
      </c>
      <c r="C21" s="20" t="s">
        <v>211</v>
      </c>
      <c r="D21" s="20" t="s">
        <v>212</v>
      </c>
      <c r="E21" s="20" t="s">
        <v>212</v>
      </c>
    </row>
    <row r="22" spans="1:10" ht="15" customHeight="1" x14ac:dyDescent="0.2">
      <c r="A22" s="20" t="s">
        <v>9</v>
      </c>
      <c r="B22" s="20" t="s">
        <v>202</v>
      </c>
      <c r="C22" s="20" t="s">
        <v>202</v>
      </c>
      <c r="D22" s="20" t="s">
        <v>201</v>
      </c>
      <c r="E22" s="20" t="s">
        <v>201</v>
      </c>
    </row>
    <row r="23" spans="1:10" ht="15" customHeight="1" x14ac:dyDescent="0.2">
      <c r="A23" s="20" t="s">
        <v>10</v>
      </c>
      <c r="B23" s="20" t="s">
        <v>204</v>
      </c>
      <c r="C23" s="20" t="s">
        <v>204</v>
      </c>
      <c r="D23" s="20" t="s">
        <v>203</v>
      </c>
      <c r="E23" s="20" t="s">
        <v>203</v>
      </c>
    </row>
    <row r="24" spans="1:10" ht="15" customHeight="1" x14ac:dyDescent="0.2">
      <c r="A24" s="20" t="s">
        <v>11</v>
      </c>
      <c r="B24" s="20" t="s">
        <v>206</v>
      </c>
      <c r="C24" s="20" t="s">
        <v>206</v>
      </c>
      <c r="D24" s="20" t="s">
        <v>205</v>
      </c>
      <c r="E24" s="20" t="s">
        <v>205</v>
      </c>
    </row>
    <row r="25" spans="1:10" ht="15" customHeight="1" x14ac:dyDescent="0.2">
      <c r="A25" s="20" t="s">
        <v>12</v>
      </c>
      <c r="B25" s="20" t="s">
        <v>207</v>
      </c>
      <c r="C25" s="20" t="s">
        <v>207</v>
      </c>
      <c r="D25" s="20" t="s">
        <v>208</v>
      </c>
      <c r="E25" s="20" t="s">
        <v>208</v>
      </c>
    </row>
    <row r="26" spans="1:10" ht="15" customHeight="1" x14ac:dyDescent="0.2">
      <c r="A26" s="20" t="s">
        <v>13</v>
      </c>
      <c r="B26" s="20" t="s">
        <v>209</v>
      </c>
      <c r="C26" s="20" t="s">
        <v>209</v>
      </c>
      <c r="D26" s="20" t="s">
        <v>210</v>
      </c>
      <c r="E26" s="20" t="s">
        <v>210</v>
      </c>
    </row>
    <row r="27" spans="1:10" ht="15" customHeight="1" x14ac:dyDescent="0.2">
      <c r="A27" s="20" t="s">
        <v>14</v>
      </c>
      <c r="B27" s="20" t="s">
        <v>211</v>
      </c>
      <c r="C27" s="20" t="s">
        <v>200</v>
      </c>
      <c r="D27" s="20" t="s">
        <v>213</v>
      </c>
      <c r="E27" s="20" t="s">
        <v>213</v>
      </c>
    </row>
    <row r="28" spans="1:10" ht="15" customHeight="1" x14ac:dyDescent="0.2">
      <c r="A28" s="20" t="s">
        <v>15</v>
      </c>
      <c r="B28" s="20" t="s">
        <v>40</v>
      </c>
      <c r="C28" s="20" t="s">
        <v>40</v>
      </c>
      <c r="D28" s="20" t="s">
        <v>214</v>
      </c>
      <c r="E28" s="20" t="s">
        <v>214</v>
      </c>
    </row>
    <row r="30" spans="1:10" ht="15" customHeight="1" x14ac:dyDescent="0.2">
      <c r="A30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5"/>
  <sheetViews>
    <sheetView topLeftCell="A85" workbookViewId="0">
      <selection activeCell="Q93" sqref="Q93"/>
    </sheetView>
  </sheetViews>
  <sheetFormatPr defaultColWidth="9.140625" defaultRowHeight="15" customHeight="1" x14ac:dyDescent="0.2"/>
  <cols>
    <col min="1" max="1" width="11.28515625" customWidth="1"/>
    <col min="2" max="2" width="10.42578125" customWidth="1"/>
    <col min="3" max="3" width="14.28515625" customWidth="1"/>
    <col min="4" max="5" width="16.5703125" customWidth="1"/>
    <col min="6" max="6" width="12.5703125" customWidth="1"/>
    <col min="7" max="7" width="14.1406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44</v>
      </c>
    </row>
    <row r="7" spans="1:1" ht="15" customHeight="1" x14ac:dyDescent="0.2">
      <c r="A7" t="s">
        <v>45</v>
      </c>
    </row>
    <row r="8" spans="1:1" ht="15" customHeight="1" x14ac:dyDescent="0.2">
      <c r="A8" t="s">
        <v>46</v>
      </c>
    </row>
    <row r="9" spans="1:1" ht="15" customHeight="1" x14ac:dyDescent="0.2">
      <c r="A9" t="s">
        <v>47</v>
      </c>
    </row>
    <row r="10" spans="1:1" ht="15" customHeight="1" x14ac:dyDescent="0.2">
      <c r="A10" t="s">
        <v>5</v>
      </c>
    </row>
    <row r="11" spans="1:1" ht="15" customHeight="1" x14ac:dyDescent="0.2">
      <c r="A11" t="s">
        <v>48</v>
      </c>
    </row>
    <row r="12" spans="1:1" ht="15" customHeight="1" x14ac:dyDescent="0.2">
      <c r="A12" t="s">
        <v>49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50</v>
      </c>
    </row>
    <row r="38" spans="1:7" ht="15" customHeight="1" x14ac:dyDescent="0.2">
      <c r="A38" t="s">
        <v>51</v>
      </c>
    </row>
    <row r="39" spans="1:7" ht="12.75" x14ac:dyDescent="0.2">
      <c r="A39" t="s">
        <v>52</v>
      </c>
    </row>
    <row r="40" spans="1:7" ht="12.75" x14ac:dyDescent="0.2">
      <c r="A40" t="s">
        <v>53</v>
      </c>
      <c r="B40" s="2">
        <v>0.117035</v>
      </c>
    </row>
    <row r="41" spans="1:7" ht="12.75" x14ac:dyDescent="0.2">
      <c r="A41" t="s">
        <v>54</v>
      </c>
      <c r="B41" s="3">
        <v>1.0808899999999999</v>
      </c>
    </row>
    <row r="42" spans="1:7" ht="12.75" x14ac:dyDescent="0.2">
      <c r="A42" t="s">
        <v>55</v>
      </c>
      <c r="B42">
        <v>4908240</v>
      </c>
    </row>
    <row r="43" spans="1:7" ht="12.75" x14ac:dyDescent="0.2">
      <c r="A43" t="s">
        <v>56</v>
      </c>
      <c r="B43">
        <v>1194880</v>
      </c>
    </row>
    <row r="44" spans="1:7" ht="12.75" x14ac:dyDescent="0.2"/>
    <row r="45" spans="1:7" ht="12.75" x14ac:dyDescent="0.2">
      <c r="A45" t="s">
        <v>57</v>
      </c>
    </row>
    <row r="46" spans="1:7" ht="12.75" x14ac:dyDescent="0.2">
      <c r="A46" t="s">
        <v>3</v>
      </c>
    </row>
    <row r="47" spans="1:7" ht="12.75" x14ac:dyDescent="0.2">
      <c r="A47" t="s">
        <v>58</v>
      </c>
      <c r="B47" t="s">
        <v>16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</row>
    <row r="48" spans="1:7" ht="12.75" x14ac:dyDescent="0.2">
      <c r="A48" t="s">
        <v>64</v>
      </c>
      <c r="B48" t="s">
        <v>36</v>
      </c>
      <c r="C48" s="4">
        <v>12.5</v>
      </c>
      <c r="D48" s="3">
        <v>1.22285</v>
      </c>
      <c r="E48" t="s">
        <v>65</v>
      </c>
      <c r="F48" s="3">
        <v>1.1905600000000001</v>
      </c>
      <c r="G48" s="5">
        <v>3.2294400000000001E-2</v>
      </c>
    </row>
    <row r="49" spans="1:7" ht="12.75" x14ac:dyDescent="0.2">
      <c r="A49" t="s">
        <v>66</v>
      </c>
      <c r="B49" t="s">
        <v>36</v>
      </c>
      <c r="C49" s="4">
        <v>12.5</v>
      </c>
      <c r="D49" s="3">
        <v>1.22285</v>
      </c>
      <c r="F49" s="3">
        <v>1.1905600000000001</v>
      </c>
      <c r="G49" s="5">
        <v>3.2294400000000001E-2</v>
      </c>
    </row>
    <row r="50" spans="1:7" ht="12.75" x14ac:dyDescent="0.2">
      <c r="A50" t="s">
        <v>64</v>
      </c>
      <c r="B50" t="s">
        <v>18</v>
      </c>
      <c r="C50" s="4">
        <v>12.5</v>
      </c>
      <c r="D50" s="3">
        <v>1.1631499999999999</v>
      </c>
      <c r="E50" t="s">
        <v>65</v>
      </c>
      <c r="F50" s="3">
        <v>1.1905600000000001</v>
      </c>
      <c r="G50" s="5">
        <v>-2.7405599999999999E-2</v>
      </c>
    </row>
    <row r="51" spans="1:7" ht="12.75" x14ac:dyDescent="0.2">
      <c r="A51" t="s">
        <v>67</v>
      </c>
      <c r="B51" t="s">
        <v>18</v>
      </c>
      <c r="C51" s="4">
        <v>12.5</v>
      </c>
      <c r="D51" s="3">
        <v>1.1631499999999999</v>
      </c>
      <c r="F51" s="3">
        <v>1.1905600000000001</v>
      </c>
      <c r="G51" s="5">
        <v>-2.7405599999999999E-2</v>
      </c>
    </row>
    <row r="52" spans="1:7" ht="12.75" x14ac:dyDescent="0.2">
      <c r="A52" t="s">
        <v>64</v>
      </c>
      <c r="B52" t="s">
        <v>33</v>
      </c>
      <c r="C52" s="3">
        <v>5.6181999999999999</v>
      </c>
      <c r="D52" s="2">
        <v>0.55598000000000003</v>
      </c>
      <c r="E52" s="3">
        <v>3.6768299999999998</v>
      </c>
      <c r="F52" s="2">
        <v>0.56931100000000001</v>
      </c>
      <c r="G52" s="5">
        <v>-1.33314E-2</v>
      </c>
    </row>
    <row r="53" spans="1:7" ht="12.75" x14ac:dyDescent="0.2">
      <c r="A53" t="s">
        <v>68</v>
      </c>
      <c r="B53" t="s">
        <v>33</v>
      </c>
      <c r="C53" s="3">
        <v>5.6181999999999999</v>
      </c>
      <c r="D53" s="2">
        <v>0.57043500000000003</v>
      </c>
      <c r="F53" s="2">
        <v>0.56931100000000001</v>
      </c>
      <c r="G53" s="6">
        <v>1.12356E-3</v>
      </c>
    </row>
    <row r="54" spans="1:7" ht="12.75" x14ac:dyDescent="0.2">
      <c r="A54" t="s">
        <v>69</v>
      </c>
      <c r="B54" t="s">
        <v>33</v>
      </c>
      <c r="C54" s="3">
        <v>5.6181999999999999</v>
      </c>
      <c r="D54" s="2">
        <v>0.54152500000000003</v>
      </c>
      <c r="F54" s="2">
        <v>0.56931100000000001</v>
      </c>
      <c r="G54" s="5">
        <v>-2.7786399999999999E-2</v>
      </c>
    </row>
    <row r="55" spans="1:7" ht="12.75" x14ac:dyDescent="0.2">
      <c r="A55" t="s">
        <v>64</v>
      </c>
      <c r="B55" t="s">
        <v>30</v>
      </c>
      <c r="C55" s="3">
        <v>2.5537299999999998</v>
      </c>
      <c r="D55" s="2">
        <v>0.33014500000000002</v>
      </c>
      <c r="E55" s="3">
        <v>3.8053499999999998</v>
      </c>
      <c r="F55" s="2">
        <v>0.30991299999999999</v>
      </c>
      <c r="G55" s="5">
        <v>2.0231200000000001E-2</v>
      </c>
    </row>
    <row r="56" spans="1:7" ht="12.75" x14ac:dyDescent="0.2">
      <c r="A56" t="s">
        <v>70</v>
      </c>
      <c r="B56" t="s">
        <v>30</v>
      </c>
      <c r="C56" s="3">
        <v>2.5537299999999998</v>
      </c>
      <c r="D56" s="2">
        <v>0.339028</v>
      </c>
      <c r="F56" s="2">
        <v>0.30991299999999999</v>
      </c>
      <c r="G56" s="5">
        <v>2.91147E-2</v>
      </c>
    </row>
    <row r="57" spans="1:7" ht="12.75" x14ac:dyDescent="0.2">
      <c r="A57" t="s">
        <v>71</v>
      </c>
      <c r="B57" t="s">
        <v>30</v>
      </c>
      <c r="C57" s="3">
        <v>2.5537299999999998</v>
      </c>
      <c r="D57" s="2">
        <v>0.32126100000000002</v>
      </c>
      <c r="F57" s="2">
        <v>0.30991299999999999</v>
      </c>
      <c r="G57" s="5">
        <v>1.13477E-2</v>
      </c>
    </row>
    <row r="58" spans="1:7" ht="12.75" x14ac:dyDescent="0.2">
      <c r="A58" t="s">
        <v>64</v>
      </c>
      <c r="B58" t="s">
        <v>27</v>
      </c>
      <c r="C58" s="3">
        <v>1.16079</v>
      </c>
      <c r="D58" s="2">
        <v>0.196298</v>
      </c>
      <c r="E58" s="3">
        <v>6.3564600000000002</v>
      </c>
      <c r="F58" s="2">
        <v>0.19928999999999999</v>
      </c>
      <c r="G58" s="6">
        <v>-2.9922099999999999E-3</v>
      </c>
    </row>
    <row r="59" spans="1:7" ht="12.75" x14ac:dyDescent="0.2">
      <c r="A59" t="s">
        <v>72</v>
      </c>
      <c r="B59" t="s">
        <v>27</v>
      </c>
      <c r="C59" s="3">
        <v>1.16079</v>
      </c>
      <c r="D59" s="2">
        <v>0.205121</v>
      </c>
      <c r="F59" s="2">
        <v>0.19928999999999999</v>
      </c>
      <c r="G59" s="6">
        <v>5.8307899999999998E-3</v>
      </c>
    </row>
    <row r="60" spans="1:7" ht="12.75" x14ac:dyDescent="0.2">
      <c r="A60" t="s">
        <v>73</v>
      </c>
      <c r="B60" t="s">
        <v>27</v>
      </c>
      <c r="C60" s="3">
        <v>1.16079</v>
      </c>
      <c r="D60" s="2">
        <v>0.187475</v>
      </c>
      <c r="F60" s="2">
        <v>0.19928999999999999</v>
      </c>
      <c r="G60" s="5">
        <v>-1.18152E-2</v>
      </c>
    </row>
    <row r="61" spans="1:7" ht="12.75" x14ac:dyDescent="0.2">
      <c r="A61" t="s">
        <v>64</v>
      </c>
      <c r="B61" t="s">
        <v>24</v>
      </c>
      <c r="C61" s="2">
        <v>0.52763000000000004</v>
      </c>
      <c r="D61" s="2">
        <v>0.14524599999999999</v>
      </c>
      <c r="E61" s="3">
        <v>2.4483000000000001</v>
      </c>
      <c r="F61" s="2">
        <v>0.152114</v>
      </c>
      <c r="G61" s="6">
        <v>-6.8683199999999998E-3</v>
      </c>
    </row>
    <row r="62" spans="1:7" ht="12.75" x14ac:dyDescent="0.2">
      <c r="A62" t="s">
        <v>74</v>
      </c>
      <c r="B62" t="s">
        <v>24</v>
      </c>
      <c r="C62" s="2">
        <v>0.52763000000000004</v>
      </c>
      <c r="D62" s="2">
        <v>0.14776</v>
      </c>
      <c r="F62" s="2">
        <v>0.152114</v>
      </c>
      <c r="G62" s="6">
        <v>-4.3538200000000004E-3</v>
      </c>
    </row>
    <row r="63" spans="1:7" ht="12.75" x14ac:dyDescent="0.2">
      <c r="A63" t="s">
        <v>75</v>
      </c>
      <c r="B63" t="s">
        <v>24</v>
      </c>
      <c r="C63" s="2">
        <v>0.52763000000000004</v>
      </c>
      <c r="D63" s="2">
        <v>0.142731</v>
      </c>
      <c r="F63" s="2">
        <v>0.152114</v>
      </c>
      <c r="G63" s="6">
        <v>-9.38282E-3</v>
      </c>
    </row>
    <row r="64" spans="1:7" ht="12.75" x14ac:dyDescent="0.2">
      <c r="A64" t="s">
        <v>64</v>
      </c>
      <c r="B64" t="s">
        <v>21</v>
      </c>
      <c r="C64" s="2">
        <v>0.23983199999999999</v>
      </c>
      <c r="D64" s="2">
        <v>0.13048899999999999</v>
      </c>
      <c r="E64" s="3">
        <v>6.9199299999999999</v>
      </c>
      <c r="F64" s="2">
        <v>0.131995</v>
      </c>
      <c r="G64" s="6">
        <v>-1.50596E-3</v>
      </c>
    </row>
    <row r="65" spans="1:13" ht="12.75" x14ac:dyDescent="0.2">
      <c r="A65" t="s">
        <v>76</v>
      </c>
      <c r="B65" t="s">
        <v>21</v>
      </c>
      <c r="C65" s="2">
        <v>0.23983199999999999</v>
      </c>
      <c r="D65" s="2">
        <v>0.136874</v>
      </c>
      <c r="F65" s="2">
        <v>0.131995</v>
      </c>
      <c r="G65" s="6">
        <v>4.8790400000000003E-3</v>
      </c>
    </row>
    <row r="66" spans="1:13" ht="12.75" x14ac:dyDescent="0.2">
      <c r="A66" t="s">
        <v>77</v>
      </c>
      <c r="B66" t="s">
        <v>21</v>
      </c>
      <c r="C66" s="2">
        <v>0.23983199999999999</v>
      </c>
      <c r="D66" s="2">
        <v>0.12410400000000001</v>
      </c>
      <c r="F66" s="2">
        <v>0.131995</v>
      </c>
      <c r="G66" s="6">
        <v>-7.8909600000000007E-3</v>
      </c>
    </row>
    <row r="67" spans="1:13" ht="12.75" x14ac:dyDescent="0.2">
      <c r="A67" t="s">
        <v>64</v>
      </c>
      <c r="B67" t="s">
        <v>17</v>
      </c>
      <c r="C67" s="2">
        <v>0.109014</v>
      </c>
      <c r="D67" s="2">
        <v>0.12823599999999999</v>
      </c>
      <c r="E67" t="s">
        <v>65</v>
      </c>
      <c r="F67" s="2">
        <v>0.123415</v>
      </c>
      <c r="G67" s="6">
        <v>4.8209500000000001E-3</v>
      </c>
    </row>
    <row r="68" spans="1:13" ht="12.75" x14ac:dyDescent="0.2">
      <c r="A68" t="s">
        <v>78</v>
      </c>
      <c r="B68" t="s">
        <v>17</v>
      </c>
      <c r="C68" s="2">
        <v>0.109014</v>
      </c>
      <c r="D68" s="2">
        <v>0.12823599999999999</v>
      </c>
      <c r="F68" s="2">
        <v>0.123415</v>
      </c>
      <c r="G68" s="6">
        <v>4.8209500000000001E-3</v>
      </c>
    </row>
    <row r="69" spans="1:13" ht="12.75" x14ac:dyDescent="0.2">
      <c r="A69" t="s">
        <v>64</v>
      </c>
      <c r="B69" t="s">
        <v>37</v>
      </c>
      <c r="C69" s="2">
        <v>0.109014</v>
      </c>
      <c r="D69" s="2">
        <v>0.122639</v>
      </c>
      <c r="E69" t="s">
        <v>65</v>
      </c>
      <c r="F69" s="2">
        <v>0.123415</v>
      </c>
      <c r="G69" s="7">
        <v>-7.7605299999999996E-4</v>
      </c>
    </row>
    <row r="70" spans="1:13" ht="12.75" x14ac:dyDescent="0.2">
      <c r="A70" t="s">
        <v>79</v>
      </c>
      <c r="B70" t="s">
        <v>37</v>
      </c>
      <c r="C70" s="2">
        <v>0.109014</v>
      </c>
      <c r="D70" s="2">
        <v>0.122639</v>
      </c>
      <c r="F70" s="2">
        <v>0.123415</v>
      </c>
      <c r="G70" s="7">
        <v>-7.7605299999999996E-4</v>
      </c>
    </row>
    <row r="71" spans="1:13" ht="12.75" x14ac:dyDescent="0.2"/>
    <row r="72" spans="1:13" ht="12.75" x14ac:dyDescent="0.2"/>
    <row r="73" spans="1:13" ht="12.75" x14ac:dyDescent="0.2">
      <c r="A73" t="s">
        <v>6</v>
      </c>
    </row>
    <row r="74" spans="1:13" ht="12.75" x14ac:dyDescent="0.2">
      <c r="A74" t="s">
        <v>3</v>
      </c>
    </row>
    <row r="75" spans="1:13" ht="12.75" x14ac:dyDescent="0.2">
      <c r="A75" s="20" t="s">
        <v>80</v>
      </c>
      <c r="B75" s="21">
        <v>1</v>
      </c>
      <c r="C75" s="21">
        <v>2</v>
      </c>
      <c r="D75" s="21">
        <v>3</v>
      </c>
      <c r="E75" s="21">
        <v>4</v>
      </c>
      <c r="F75" s="1">
        <v>5</v>
      </c>
      <c r="G75" s="1">
        <v>6</v>
      </c>
      <c r="H75" s="1">
        <v>7</v>
      </c>
      <c r="I75" s="1">
        <v>8</v>
      </c>
      <c r="J75" s="1">
        <v>9</v>
      </c>
      <c r="K75" s="1">
        <v>10</v>
      </c>
      <c r="L75" s="1">
        <v>11</v>
      </c>
      <c r="M75" s="1">
        <v>12</v>
      </c>
    </row>
    <row r="76" spans="1:13" ht="12.75" x14ac:dyDescent="0.2">
      <c r="A76" s="20" t="s">
        <v>8</v>
      </c>
      <c r="B76" s="25">
        <v>0.12823599999999999</v>
      </c>
      <c r="C76" s="24">
        <v>1.1631499999999999</v>
      </c>
      <c r="D76" s="25">
        <v>0.80598999999999998</v>
      </c>
      <c r="E76" s="25">
        <v>0.67246799999999995</v>
      </c>
    </row>
    <row r="77" spans="1:13" ht="12.75" x14ac:dyDescent="0.2">
      <c r="A77" s="20" t="s">
        <v>9</v>
      </c>
      <c r="B77" s="25">
        <v>0.136874</v>
      </c>
      <c r="C77" s="25">
        <v>0.12410400000000001</v>
      </c>
      <c r="D77" s="25">
        <v>0.419622</v>
      </c>
      <c r="E77" s="25">
        <v>0.37472800000000001</v>
      </c>
    </row>
    <row r="78" spans="1:13" ht="12.75" x14ac:dyDescent="0.2">
      <c r="A78" s="20" t="s">
        <v>10</v>
      </c>
      <c r="B78" s="25">
        <v>0.14776</v>
      </c>
      <c r="C78" s="25">
        <v>0.142731</v>
      </c>
      <c r="D78" s="25">
        <v>0.24743999999999999</v>
      </c>
      <c r="E78" s="25">
        <v>0.24551600000000001</v>
      </c>
    </row>
    <row r="79" spans="1:13" ht="12.75" x14ac:dyDescent="0.2">
      <c r="A79" s="20" t="s">
        <v>11</v>
      </c>
      <c r="B79" s="25">
        <v>0.205121</v>
      </c>
      <c r="C79" s="25">
        <v>0.187475</v>
      </c>
      <c r="D79" s="25">
        <v>0.18167900000000001</v>
      </c>
      <c r="E79" s="25">
        <v>0.19419</v>
      </c>
    </row>
    <row r="80" spans="1:13" ht="12.75" x14ac:dyDescent="0.2">
      <c r="A80" s="20" t="s">
        <v>12</v>
      </c>
      <c r="B80" s="25">
        <v>0.339028</v>
      </c>
      <c r="C80" s="25">
        <v>0.32126100000000002</v>
      </c>
      <c r="D80" s="25">
        <v>0.68474999999999997</v>
      </c>
      <c r="E80" s="25">
        <v>0.64645799999999998</v>
      </c>
    </row>
    <row r="81" spans="1:13" ht="12.75" x14ac:dyDescent="0.2">
      <c r="A81" s="20" t="s">
        <v>13</v>
      </c>
      <c r="B81" s="25">
        <v>0.57043500000000003</v>
      </c>
      <c r="C81" s="25">
        <v>0.54152500000000003</v>
      </c>
      <c r="D81" s="25">
        <v>0.49659500000000001</v>
      </c>
      <c r="E81" s="25">
        <v>0.497529</v>
      </c>
    </row>
    <row r="82" spans="1:13" ht="12.75" x14ac:dyDescent="0.2">
      <c r="A82" s="20" t="s">
        <v>14</v>
      </c>
      <c r="B82" s="24">
        <v>1.22285</v>
      </c>
      <c r="C82" s="25">
        <v>0.122639</v>
      </c>
      <c r="D82" s="25">
        <v>0.49409399999999998</v>
      </c>
      <c r="E82" s="25">
        <v>0.432116</v>
      </c>
    </row>
    <row r="83" spans="1:13" ht="12.75" x14ac:dyDescent="0.2">
      <c r="A83" s="20" t="s">
        <v>15</v>
      </c>
      <c r="B83" s="20"/>
      <c r="C83" s="20"/>
      <c r="D83" s="25">
        <v>0.58128400000000002</v>
      </c>
      <c r="E83" s="25">
        <v>0.53587499999999999</v>
      </c>
    </row>
    <row r="84" spans="1:13" ht="12.75" x14ac:dyDescent="0.2"/>
    <row r="85" spans="1:13" ht="12.75" x14ac:dyDescent="0.2">
      <c r="A85" s="20" t="s">
        <v>59</v>
      </c>
      <c r="B85" s="21">
        <v>1</v>
      </c>
      <c r="C85" s="21">
        <v>2</v>
      </c>
      <c r="D85" s="21">
        <v>3</v>
      </c>
      <c r="E85" s="21">
        <v>4</v>
      </c>
      <c r="F85" s="1">
        <v>5</v>
      </c>
      <c r="G85" s="1">
        <v>6</v>
      </c>
      <c r="H85" s="1">
        <v>7</v>
      </c>
      <c r="I85" s="1">
        <v>8</v>
      </c>
      <c r="J85" s="1">
        <v>9</v>
      </c>
      <c r="K85" s="1">
        <v>10</v>
      </c>
      <c r="L85" s="1">
        <v>11</v>
      </c>
      <c r="M85" s="1">
        <v>12</v>
      </c>
    </row>
    <row r="86" spans="1:13" ht="12.75" x14ac:dyDescent="0.2">
      <c r="A86" s="20" t="s">
        <v>8</v>
      </c>
      <c r="B86" s="25">
        <v>0.183499</v>
      </c>
      <c r="C86" s="22">
        <v>12.204499999999999</v>
      </c>
      <c r="D86" s="24">
        <v>8.2928800000000003</v>
      </c>
      <c r="E86" s="24">
        <v>6.79434</v>
      </c>
    </row>
    <row r="87" spans="1:13" ht="12.75" x14ac:dyDescent="0.2">
      <c r="A87" s="20" t="s">
        <v>9</v>
      </c>
      <c r="B87" s="25">
        <v>0.31140400000000001</v>
      </c>
      <c r="C87" s="25">
        <v>0.119864</v>
      </c>
      <c r="D87" s="24">
        <v>3.8735200000000001</v>
      </c>
      <c r="E87" s="24">
        <v>3.3387099999999998</v>
      </c>
    </row>
    <row r="88" spans="1:13" ht="12.75" x14ac:dyDescent="0.2">
      <c r="A88" s="20" t="s">
        <v>10</v>
      </c>
      <c r="B88" s="25">
        <v>0.466748</v>
      </c>
      <c r="C88" s="25">
        <v>0.39560699999999999</v>
      </c>
      <c r="D88" s="24">
        <v>1.7779</v>
      </c>
      <c r="E88" s="24">
        <v>1.7536099999999999</v>
      </c>
    </row>
    <row r="89" spans="1:13" ht="12.75" x14ac:dyDescent="0.2">
      <c r="A89" s="20" t="s">
        <v>11</v>
      </c>
      <c r="B89" s="24">
        <v>1.23671</v>
      </c>
      <c r="C89" s="24">
        <v>1.0056499999999999</v>
      </c>
      <c r="D89" s="25">
        <v>0.92885200000000001</v>
      </c>
      <c r="E89" s="24">
        <v>1.0940399999999999</v>
      </c>
    </row>
    <row r="90" spans="1:13" ht="12.75" x14ac:dyDescent="0.2">
      <c r="A90" s="20" t="s">
        <v>12</v>
      </c>
      <c r="B90" s="24">
        <v>2.9084500000000002</v>
      </c>
      <c r="C90" s="24">
        <v>2.6924299999999999</v>
      </c>
      <c r="D90" s="24">
        <v>6.93323</v>
      </c>
      <c r="E90" s="24">
        <v>6.49946</v>
      </c>
    </row>
    <row r="91" spans="1:13" ht="12.75" x14ac:dyDescent="0.2">
      <c r="A91" s="20" t="s">
        <v>13</v>
      </c>
      <c r="B91" s="24">
        <v>5.6311099999999996</v>
      </c>
      <c r="C91" s="24">
        <v>5.2981199999999999</v>
      </c>
      <c r="D91" s="24">
        <v>4.7771699999999999</v>
      </c>
      <c r="E91" s="24">
        <v>4.7880399999999996</v>
      </c>
    </row>
    <row r="92" spans="1:13" ht="12.75" x14ac:dyDescent="0.2">
      <c r="A92" s="20" t="s">
        <v>14</v>
      </c>
      <c r="B92" s="22">
        <v>12.8475</v>
      </c>
      <c r="C92" s="23">
        <v>9.6687300000000004E-2</v>
      </c>
      <c r="D92" s="24">
        <v>4.7480399999999996</v>
      </c>
      <c r="E92" s="24">
        <v>4.0212700000000003</v>
      </c>
    </row>
    <row r="93" spans="1:13" ht="12.75" x14ac:dyDescent="0.2">
      <c r="A93" s="20" t="s">
        <v>15</v>
      </c>
      <c r="B93" s="20"/>
      <c r="C93" s="20"/>
      <c r="D93" s="24">
        <v>5.7556599999999998</v>
      </c>
      <c r="E93" s="24">
        <v>5.2328400000000004</v>
      </c>
    </row>
    <row r="94" spans="1:13" ht="12.75" x14ac:dyDescent="0.2"/>
    <row r="95" spans="1:13" ht="12.75" x14ac:dyDescent="0.2">
      <c r="A95" s="20" t="s">
        <v>16</v>
      </c>
      <c r="B95" s="21">
        <v>1</v>
      </c>
      <c r="C95" s="21">
        <v>2</v>
      </c>
      <c r="D95" s="21">
        <v>3</v>
      </c>
      <c r="E95" s="21">
        <v>4</v>
      </c>
      <c r="F95" s="1">
        <v>5</v>
      </c>
      <c r="G95" s="1">
        <v>6</v>
      </c>
      <c r="H95" s="1">
        <v>7</v>
      </c>
      <c r="I95" s="1">
        <v>8</v>
      </c>
      <c r="J95" s="1">
        <v>9</v>
      </c>
      <c r="K95" s="1">
        <v>10</v>
      </c>
      <c r="L95" s="1">
        <v>11</v>
      </c>
      <c r="M95" s="1">
        <v>12</v>
      </c>
    </row>
    <row r="96" spans="1:13" ht="12.75" x14ac:dyDescent="0.2">
      <c r="A96" s="20" t="s">
        <v>8</v>
      </c>
      <c r="B96" s="20" t="s">
        <v>200</v>
      </c>
      <c r="C96" s="20" t="s">
        <v>211</v>
      </c>
      <c r="D96" s="20" t="s">
        <v>212</v>
      </c>
      <c r="E96" s="20" t="s">
        <v>212</v>
      </c>
    </row>
    <row r="97" spans="1:5" ht="12.75" x14ac:dyDescent="0.2">
      <c r="A97" s="20" t="s">
        <v>9</v>
      </c>
      <c r="B97" s="20" t="s">
        <v>202</v>
      </c>
      <c r="C97" s="20" t="s">
        <v>202</v>
      </c>
      <c r="D97" s="20" t="s">
        <v>201</v>
      </c>
      <c r="E97" s="20" t="s">
        <v>201</v>
      </c>
    </row>
    <row r="98" spans="1:5" ht="12.75" x14ac:dyDescent="0.2">
      <c r="A98" s="20" t="s">
        <v>10</v>
      </c>
      <c r="B98" s="20" t="s">
        <v>204</v>
      </c>
      <c r="C98" s="20" t="s">
        <v>204</v>
      </c>
      <c r="D98" s="20" t="s">
        <v>203</v>
      </c>
      <c r="E98" s="20" t="s">
        <v>203</v>
      </c>
    </row>
    <row r="99" spans="1:5" ht="12.75" x14ac:dyDescent="0.2">
      <c r="A99" s="20" t="s">
        <v>11</v>
      </c>
      <c r="B99" s="20" t="s">
        <v>206</v>
      </c>
      <c r="C99" s="20" t="s">
        <v>206</v>
      </c>
      <c r="D99" s="20" t="s">
        <v>205</v>
      </c>
      <c r="E99" s="20" t="s">
        <v>205</v>
      </c>
    </row>
    <row r="100" spans="1:5" ht="12.75" x14ac:dyDescent="0.2">
      <c r="A100" s="20" t="s">
        <v>12</v>
      </c>
      <c r="B100" s="20" t="s">
        <v>207</v>
      </c>
      <c r="C100" s="20" t="s">
        <v>207</v>
      </c>
      <c r="D100" s="20" t="s">
        <v>208</v>
      </c>
      <c r="E100" s="20" t="s">
        <v>208</v>
      </c>
    </row>
    <row r="101" spans="1:5" ht="12.75" x14ac:dyDescent="0.2">
      <c r="A101" s="20" t="s">
        <v>13</v>
      </c>
      <c r="B101" s="20" t="s">
        <v>209</v>
      </c>
      <c r="C101" s="20" t="s">
        <v>209</v>
      </c>
      <c r="D101" s="20" t="s">
        <v>210</v>
      </c>
      <c r="E101" s="20" t="s">
        <v>210</v>
      </c>
    </row>
    <row r="102" spans="1:5" ht="12.75" x14ac:dyDescent="0.2">
      <c r="A102" s="20" t="s">
        <v>14</v>
      </c>
      <c r="B102" s="20" t="s">
        <v>211</v>
      </c>
      <c r="C102" s="20" t="s">
        <v>200</v>
      </c>
      <c r="D102" s="20" t="s">
        <v>213</v>
      </c>
      <c r="E102" s="20" t="s">
        <v>213</v>
      </c>
    </row>
    <row r="103" spans="1:5" ht="12.75" x14ac:dyDescent="0.2">
      <c r="A103" s="20" t="s">
        <v>15</v>
      </c>
      <c r="B103" s="20" t="s">
        <v>40</v>
      </c>
      <c r="C103" s="20" t="s">
        <v>40</v>
      </c>
      <c r="D103" s="20" t="s">
        <v>214</v>
      </c>
      <c r="E103" s="20" t="s">
        <v>214</v>
      </c>
    </row>
    <row r="105" spans="1:5" ht="12.75" x14ac:dyDescent="0.2">
      <c r="A105" t="s">
        <v>81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F33"/>
  <sheetViews>
    <sheetView workbookViewId="0">
      <selection activeCell="I15" sqref="I15"/>
    </sheetView>
  </sheetViews>
  <sheetFormatPr defaultColWidth="9.140625" defaultRowHeight="15" customHeight="1" x14ac:dyDescent="0.2"/>
  <cols>
    <col min="1" max="1" width="15" customWidth="1"/>
    <col min="2" max="2" width="13.42578125" customWidth="1"/>
    <col min="3" max="3" width="14.140625" customWidth="1"/>
    <col min="4" max="5" width="11.28515625" customWidth="1"/>
    <col min="6" max="6" width="3.140625" customWidth="1"/>
  </cols>
  <sheetData>
    <row r="1" spans="1:6" ht="15" customHeight="1" x14ac:dyDescent="0.2">
      <c r="A1" t="s">
        <v>0</v>
      </c>
    </row>
    <row r="2" spans="1:6" ht="15" customHeight="1" x14ac:dyDescent="0.2">
      <c r="A2" t="s">
        <v>1</v>
      </c>
    </row>
    <row r="3" spans="1:6" ht="15" customHeight="1" x14ac:dyDescent="0.2">
      <c r="A3" t="s">
        <v>2</v>
      </c>
    </row>
    <row r="4" spans="1:6" ht="15" customHeight="1" x14ac:dyDescent="0.2">
      <c r="A4" t="s">
        <v>3</v>
      </c>
    </row>
    <row r="5" spans="1:6" ht="15" customHeight="1" x14ac:dyDescent="0.2">
      <c r="A5" t="s">
        <v>82</v>
      </c>
    </row>
    <row r="9" spans="1:6" ht="15" customHeight="1" x14ac:dyDescent="0.2">
      <c r="A9" t="s">
        <v>5</v>
      </c>
    </row>
    <row r="10" spans="1:6" ht="15" customHeight="1" x14ac:dyDescent="0.2">
      <c r="A10" t="s">
        <v>3</v>
      </c>
    </row>
    <row r="11" spans="1:6" ht="15" customHeight="1" x14ac:dyDescent="0.2">
      <c r="A11" t="s">
        <v>6</v>
      </c>
    </row>
    <row r="12" spans="1:6" ht="15" customHeight="1" x14ac:dyDescent="0.2">
      <c r="A12" t="s">
        <v>3</v>
      </c>
    </row>
    <row r="13" spans="1:6" ht="15" customHeight="1" x14ac:dyDescent="0.2">
      <c r="A13" s="20" t="s">
        <v>83</v>
      </c>
      <c r="B13" s="21">
        <v>1</v>
      </c>
      <c r="C13" s="21">
        <v>2</v>
      </c>
      <c r="D13" s="21">
        <v>3</v>
      </c>
      <c r="E13" s="21">
        <v>4</v>
      </c>
      <c r="F13" s="1">
        <v>5</v>
      </c>
    </row>
    <row r="14" spans="1:6" ht="15" customHeight="1" x14ac:dyDescent="0.2">
      <c r="A14" s="20" t="s">
        <v>8</v>
      </c>
      <c r="B14" s="23">
        <v>1.0799E-2</v>
      </c>
      <c r="C14" s="24">
        <v>1.0457099999999999</v>
      </c>
      <c r="D14" s="25">
        <v>0.68855299999999997</v>
      </c>
      <c r="E14" s="25">
        <v>0.55503100000000005</v>
      </c>
    </row>
    <row r="15" spans="1:6" ht="15" customHeight="1" x14ac:dyDescent="0.2">
      <c r="A15" s="20" t="s">
        <v>9</v>
      </c>
      <c r="B15" s="23">
        <v>1.9436999999999999E-2</v>
      </c>
      <c r="C15" s="26">
        <v>6.6670000000000002E-3</v>
      </c>
      <c r="D15" s="25">
        <v>0.30218499999999998</v>
      </c>
      <c r="E15" s="25">
        <v>0.25729099999999999</v>
      </c>
    </row>
    <row r="16" spans="1:6" ht="15" customHeight="1" x14ac:dyDescent="0.2">
      <c r="A16" s="20" t="s">
        <v>10</v>
      </c>
      <c r="B16" s="23">
        <v>3.0322999999999999E-2</v>
      </c>
      <c r="C16" s="23">
        <v>2.5294000000000001E-2</v>
      </c>
      <c r="D16" s="25">
        <v>0.13000300000000001</v>
      </c>
      <c r="E16" s="25">
        <v>0.128079</v>
      </c>
    </row>
    <row r="17" spans="1:6" ht="15" customHeight="1" x14ac:dyDescent="0.2">
      <c r="A17" s="20" t="s">
        <v>11</v>
      </c>
      <c r="B17" s="23">
        <v>8.7683999999999998E-2</v>
      </c>
      <c r="C17" s="23">
        <v>7.0038000000000003E-2</v>
      </c>
      <c r="D17" s="23">
        <v>6.4241999999999994E-2</v>
      </c>
      <c r="E17" s="23">
        <v>7.6753000000000002E-2</v>
      </c>
    </row>
    <row r="18" spans="1:6" ht="15" customHeight="1" x14ac:dyDescent="0.2">
      <c r="A18" s="20" t="s">
        <v>12</v>
      </c>
      <c r="B18" s="25">
        <v>0.22159100000000001</v>
      </c>
      <c r="C18" s="25">
        <v>0.20382400000000001</v>
      </c>
      <c r="D18" s="25">
        <v>0.56731299999999996</v>
      </c>
      <c r="E18" s="25">
        <v>0.52902099999999996</v>
      </c>
    </row>
    <row r="19" spans="1:6" ht="15" customHeight="1" x14ac:dyDescent="0.2">
      <c r="A19" s="20" t="s">
        <v>13</v>
      </c>
      <c r="B19" s="25">
        <v>0.45299800000000001</v>
      </c>
      <c r="C19" s="25">
        <v>0.42408800000000002</v>
      </c>
      <c r="D19" s="25">
        <v>0.379158</v>
      </c>
      <c r="E19" s="25">
        <v>0.38009199999999999</v>
      </c>
    </row>
    <row r="20" spans="1:6" ht="15" customHeight="1" x14ac:dyDescent="0.2">
      <c r="A20" s="20" t="s">
        <v>14</v>
      </c>
      <c r="B20" s="24">
        <v>1.10541</v>
      </c>
      <c r="C20" s="26">
        <v>5.202E-3</v>
      </c>
      <c r="D20" s="25">
        <v>0.37665700000000002</v>
      </c>
      <c r="E20" s="25">
        <v>0.31467899999999999</v>
      </c>
    </row>
    <row r="21" spans="1:6" ht="15" customHeight="1" x14ac:dyDescent="0.2">
      <c r="A21" s="20" t="s">
        <v>15</v>
      </c>
      <c r="B21" s="27">
        <v>7.3800000000000005E-4</v>
      </c>
      <c r="C21" s="27">
        <v>-7.3800000000000005E-4</v>
      </c>
      <c r="D21" s="25">
        <v>0.46384700000000001</v>
      </c>
      <c r="E21" s="25">
        <v>0.41843799999999998</v>
      </c>
    </row>
    <row r="23" spans="1:6" ht="15" customHeight="1" x14ac:dyDescent="0.2">
      <c r="A23" s="20" t="s">
        <v>16</v>
      </c>
      <c r="B23" s="21">
        <v>1</v>
      </c>
      <c r="C23" s="21">
        <v>2</v>
      </c>
      <c r="D23" s="21">
        <v>3</v>
      </c>
      <c r="E23" s="21">
        <v>4</v>
      </c>
      <c r="F23" s="1">
        <v>5</v>
      </c>
    </row>
    <row r="24" spans="1:6" ht="15" customHeight="1" x14ac:dyDescent="0.2">
      <c r="A24" s="20" t="s">
        <v>8</v>
      </c>
      <c r="B24" s="20" t="s">
        <v>200</v>
      </c>
      <c r="C24" s="20" t="s">
        <v>211</v>
      </c>
      <c r="D24" s="20" t="s">
        <v>212</v>
      </c>
      <c r="E24" s="20" t="s">
        <v>212</v>
      </c>
    </row>
    <row r="25" spans="1:6" ht="15" customHeight="1" x14ac:dyDescent="0.2">
      <c r="A25" s="20" t="s">
        <v>9</v>
      </c>
      <c r="B25" s="20" t="s">
        <v>202</v>
      </c>
      <c r="C25" s="20" t="s">
        <v>202</v>
      </c>
      <c r="D25" s="20" t="s">
        <v>201</v>
      </c>
      <c r="E25" s="20" t="s">
        <v>201</v>
      </c>
    </row>
    <row r="26" spans="1:6" ht="15" customHeight="1" x14ac:dyDescent="0.2">
      <c r="A26" s="20" t="s">
        <v>10</v>
      </c>
      <c r="B26" s="20" t="s">
        <v>204</v>
      </c>
      <c r="C26" s="20" t="s">
        <v>204</v>
      </c>
      <c r="D26" s="20" t="s">
        <v>203</v>
      </c>
      <c r="E26" s="20" t="s">
        <v>203</v>
      </c>
    </row>
    <row r="27" spans="1:6" ht="15" customHeight="1" x14ac:dyDescent="0.2">
      <c r="A27" s="20" t="s">
        <v>11</v>
      </c>
      <c r="B27" s="20" t="s">
        <v>206</v>
      </c>
      <c r="C27" s="20" t="s">
        <v>206</v>
      </c>
      <c r="D27" s="20" t="s">
        <v>205</v>
      </c>
      <c r="E27" s="20" t="s">
        <v>205</v>
      </c>
    </row>
    <row r="28" spans="1:6" ht="15" customHeight="1" x14ac:dyDescent="0.2">
      <c r="A28" s="20" t="s">
        <v>12</v>
      </c>
      <c r="B28" s="20" t="s">
        <v>207</v>
      </c>
      <c r="C28" s="20" t="s">
        <v>207</v>
      </c>
      <c r="D28" s="20" t="s">
        <v>208</v>
      </c>
      <c r="E28" s="20" t="s">
        <v>208</v>
      </c>
    </row>
    <row r="29" spans="1:6" ht="15" customHeight="1" x14ac:dyDescent="0.2">
      <c r="A29" s="20" t="s">
        <v>13</v>
      </c>
      <c r="B29" s="20" t="s">
        <v>209</v>
      </c>
      <c r="C29" s="20" t="s">
        <v>209</v>
      </c>
      <c r="D29" s="20" t="s">
        <v>210</v>
      </c>
      <c r="E29" s="20" t="s">
        <v>210</v>
      </c>
    </row>
    <row r="30" spans="1:6" ht="15" customHeight="1" x14ac:dyDescent="0.2">
      <c r="A30" s="20" t="s">
        <v>14</v>
      </c>
      <c r="B30" s="20" t="s">
        <v>211</v>
      </c>
      <c r="C30" s="20" t="s">
        <v>200</v>
      </c>
      <c r="D30" s="20" t="s">
        <v>213</v>
      </c>
      <c r="E30" s="20" t="s">
        <v>213</v>
      </c>
    </row>
    <row r="31" spans="1:6" ht="15" customHeight="1" x14ac:dyDescent="0.2">
      <c r="A31" s="20" t="s">
        <v>15</v>
      </c>
      <c r="B31" s="20" t="s">
        <v>40</v>
      </c>
      <c r="C31" s="20" t="s">
        <v>40</v>
      </c>
      <c r="D31" s="20" t="s">
        <v>214</v>
      </c>
      <c r="E31" s="20" t="s">
        <v>214</v>
      </c>
    </row>
    <row r="33" spans="1:1" ht="15" customHeight="1" x14ac:dyDescent="0.2">
      <c r="A33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S109"/>
  <sheetViews>
    <sheetView tabSelected="1" topLeftCell="A80" workbookViewId="0">
      <selection activeCell="A107" sqref="A107:E107"/>
    </sheetView>
  </sheetViews>
  <sheetFormatPr defaultColWidth="9.140625" defaultRowHeight="15" customHeight="1" x14ac:dyDescent="0.2"/>
  <cols>
    <col min="1" max="1" width="12.5703125" customWidth="1"/>
    <col min="2" max="2" width="14.140625" customWidth="1"/>
    <col min="3" max="3" width="14.28515625" customWidth="1"/>
    <col min="4" max="4" width="14.42578125" customWidth="1"/>
    <col min="5" max="5" width="11.28515625" customWidth="1"/>
    <col min="6" max="6" width="12.5703125" customWidth="1"/>
    <col min="7" max="7" width="12.28515625" customWidth="1"/>
    <col min="8" max="9" width="17.85546875" customWidth="1"/>
    <col min="10" max="10" width="12.5703125" customWidth="1"/>
    <col min="16" max="16" width="12" bestFit="1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85</v>
      </c>
    </row>
    <row r="7" spans="1:1" ht="15" customHeight="1" x14ac:dyDescent="0.2">
      <c r="A7" t="s">
        <v>45</v>
      </c>
    </row>
    <row r="8" spans="1:1" ht="15" customHeight="1" x14ac:dyDescent="0.2">
      <c r="A8" t="s">
        <v>46</v>
      </c>
    </row>
    <row r="9" spans="1:1" ht="15" customHeight="1" x14ac:dyDescent="0.2">
      <c r="A9" t="s">
        <v>47</v>
      </c>
    </row>
    <row r="10" spans="1:1" ht="15" customHeight="1" x14ac:dyDescent="0.2">
      <c r="A10" t="s">
        <v>5</v>
      </c>
    </row>
    <row r="11" spans="1:1" ht="15" customHeight="1" x14ac:dyDescent="0.2">
      <c r="A11" t="s">
        <v>48</v>
      </c>
    </row>
    <row r="12" spans="1:1" ht="15" customHeight="1" x14ac:dyDescent="0.2">
      <c r="A12" t="s">
        <v>49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86</v>
      </c>
    </row>
    <row r="38" spans="1:7" ht="15" customHeight="1" x14ac:dyDescent="0.2">
      <c r="A38" t="s">
        <v>51</v>
      </c>
    </row>
    <row r="39" spans="1:7" ht="12.75" x14ac:dyDescent="0.2">
      <c r="A39" t="s">
        <v>52</v>
      </c>
    </row>
    <row r="40" spans="1:7" ht="12.75" x14ac:dyDescent="0.2">
      <c r="A40" t="s">
        <v>53</v>
      </c>
      <c r="B40" s="7">
        <v>-4.0160800000000002E-4</v>
      </c>
    </row>
    <row r="41" spans="1:7" ht="12.75" x14ac:dyDescent="0.2">
      <c r="A41" t="s">
        <v>54</v>
      </c>
      <c r="B41" s="3">
        <v>1.0808899999999999</v>
      </c>
    </row>
    <row r="42" spans="1:7" ht="12.75" x14ac:dyDescent="0.2">
      <c r="A42" t="s">
        <v>55</v>
      </c>
      <c r="B42">
        <v>4529110</v>
      </c>
    </row>
    <row r="43" spans="1:7" ht="12.75" x14ac:dyDescent="0.2">
      <c r="A43" t="s">
        <v>56</v>
      </c>
      <c r="B43">
        <v>1095440</v>
      </c>
    </row>
    <row r="44" spans="1:7" ht="12.75" x14ac:dyDescent="0.2"/>
    <row r="45" spans="1:7" ht="12.75" x14ac:dyDescent="0.2">
      <c r="A45" t="s">
        <v>57</v>
      </c>
    </row>
    <row r="46" spans="1:7" ht="12.75" x14ac:dyDescent="0.2">
      <c r="A46" t="s">
        <v>3</v>
      </c>
    </row>
    <row r="47" spans="1:7" ht="12.75" x14ac:dyDescent="0.2">
      <c r="A47" t="s">
        <v>58</v>
      </c>
      <c r="B47" t="s">
        <v>16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</row>
    <row r="48" spans="1:7" ht="12.75" x14ac:dyDescent="0.2">
      <c r="A48" t="s">
        <v>64</v>
      </c>
      <c r="B48" t="s">
        <v>36</v>
      </c>
      <c r="C48" s="4">
        <v>12.5</v>
      </c>
      <c r="D48" s="3">
        <v>1.10541</v>
      </c>
      <c r="E48" t="s">
        <v>65</v>
      </c>
      <c r="F48" s="3">
        <v>1.0731200000000001</v>
      </c>
      <c r="G48" s="5">
        <v>3.2294299999999998E-2</v>
      </c>
    </row>
    <row r="49" spans="1:7" ht="12.75" x14ac:dyDescent="0.2">
      <c r="A49" t="s">
        <v>66</v>
      </c>
      <c r="B49" t="s">
        <v>36</v>
      </c>
      <c r="C49" s="4">
        <v>12.5</v>
      </c>
      <c r="D49" s="3">
        <v>1.10541</v>
      </c>
      <c r="F49" s="3">
        <v>1.0731200000000001</v>
      </c>
      <c r="G49" s="5">
        <v>3.2294299999999998E-2</v>
      </c>
    </row>
    <row r="50" spans="1:7" ht="12.75" x14ac:dyDescent="0.2">
      <c r="A50" t="s">
        <v>64</v>
      </c>
      <c r="B50" t="s">
        <v>18</v>
      </c>
      <c r="C50" s="4">
        <v>12.5</v>
      </c>
      <c r="D50" s="3">
        <v>1.0457099999999999</v>
      </c>
      <c r="E50" t="s">
        <v>65</v>
      </c>
      <c r="F50" s="3">
        <v>1.0731200000000001</v>
      </c>
      <c r="G50" s="5">
        <v>-2.7405700000000002E-2</v>
      </c>
    </row>
    <row r="51" spans="1:7" ht="12.75" x14ac:dyDescent="0.2">
      <c r="A51" t="s">
        <v>67</v>
      </c>
      <c r="B51" t="s">
        <v>18</v>
      </c>
      <c r="C51" s="4">
        <v>12.5</v>
      </c>
      <c r="D51" s="3">
        <v>1.0457099999999999</v>
      </c>
      <c r="F51" s="3">
        <v>1.0731200000000001</v>
      </c>
      <c r="G51" s="5">
        <v>-2.7405700000000002E-2</v>
      </c>
    </row>
    <row r="52" spans="1:7" ht="12.75" x14ac:dyDescent="0.2">
      <c r="A52" t="s">
        <v>64</v>
      </c>
      <c r="B52" t="s">
        <v>33</v>
      </c>
      <c r="C52" s="3">
        <v>5.6181999999999999</v>
      </c>
      <c r="D52" s="2">
        <v>0.43854300000000002</v>
      </c>
      <c r="E52" s="3">
        <v>4.6614500000000003</v>
      </c>
      <c r="F52" s="2">
        <v>0.451874</v>
      </c>
      <c r="G52" s="5">
        <v>-1.33315E-2</v>
      </c>
    </row>
    <row r="53" spans="1:7" ht="12.75" x14ac:dyDescent="0.2">
      <c r="A53" t="s">
        <v>68</v>
      </c>
      <c r="B53" t="s">
        <v>33</v>
      </c>
      <c r="C53" s="3">
        <v>5.6181999999999999</v>
      </c>
      <c r="D53" s="2">
        <v>0.45299800000000001</v>
      </c>
      <c r="F53" s="2">
        <v>0.451874</v>
      </c>
      <c r="G53" s="6">
        <v>1.1235399999999999E-3</v>
      </c>
    </row>
    <row r="54" spans="1:7" ht="12.75" x14ac:dyDescent="0.2">
      <c r="A54" t="s">
        <v>69</v>
      </c>
      <c r="B54" t="s">
        <v>33</v>
      </c>
      <c r="C54" s="3">
        <v>5.6181999999999999</v>
      </c>
      <c r="D54" s="2">
        <v>0.42408800000000002</v>
      </c>
      <c r="F54" s="2">
        <v>0.451874</v>
      </c>
      <c r="G54" s="5">
        <v>-2.7786499999999999E-2</v>
      </c>
    </row>
    <row r="55" spans="1:7" ht="12.75" x14ac:dyDescent="0.2">
      <c r="A55" t="s">
        <v>64</v>
      </c>
      <c r="B55" t="s">
        <v>30</v>
      </c>
      <c r="C55" s="3">
        <v>2.5537299999999998</v>
      </c>
      <c r="D55" s="2">
        <v>0.21270800000000001</v>
      </c>
      <c r="E55" s="3">
        <v>5.9063100000000004</v>
      </c>
      <c r="F55" s="2">
        <v>0.19247600000000001</v>
      </c>
      <c r="G55" s="5">
        <v>2.0231200000000001E-2</v>
      </c>
    </row>
    <row r="56" spans="1:7" ht="12.75" x14ac:dyDescent="0.2">
      <c r="A56" t="s">
        <v>70</v>
      </c>
      <c r="B56" t="s">
        <v>30</v>
      </c>
      <c r="C56" s="3">
        <v>2.5537299999999998</v>
      </c>
      <c r="D56" s="2">
        <v>0.22159100000000001</v>
      </c>
      <c r="F56" s="2">
        <v>0.19247600000000001</v>
      </c>
      <c r="G56" s="5">
        <v>2.91147E-2</v>
      </c>
    </row>
    <row r="57" spans="1:7" ht="12.75" x14ac:dyDescent="0.2">
      <c r="A57" t="s">
        <v>71</v>
      </c>
      <c r="B57" t="s">
        <v>30</v>
      </c>
      <c r="C57" s="3">
        <v>2.5537299999999998</v>
      </c>
      <c r="D57" s="2">
        <v>0.20382400000000001</v>
      </c>
      <c r="F57" s="2">
        <v>0.19247600000000001</v>
      </c>
      <c r="G57" s="5">
        <v>1.13477E-2</v>
      </c>
    </row>
    <row r="58" spans="1:7" ht="12.75" x14ac:dyDescent="0.2">
      <c r="A58" t="s">
        <v>64</v>
      </c>
      <c r="B58" t="s">
        <v>27</v>
      </c>
      <c r="C58" s="3">
        <v>1.16079</v>
      </c>
      <c r="D58" s="5">
        <v>7.8861000000000001E-2</v>
      </c>
      <c r="E58" s="4">
        <v>15.8223</v>
      </c>
      <c r="F58" s="5">
        <v>8.1853200000000001E-2</v>
      </c>
      <c r="G58" s="6">
        <v>-2.9922099999999999E-3</v>
      </c>
    </row>
    <row r="59" spans="1:7" ht="12.75" x14ac:dyDescent="0.2">
      <c r="A59" t="s">
        <v>72</v>
      </c>
      <c r="B59" t="s">
        <v>27</v>
      </c>
      <c r="C59" s="3">
        <v>1.16079</v>
      </c>
      <c r="D59" s="5">
        <v>8.7683999999999998E-2</v>
      </c>
      <c r="F59" s="5">
        <v>8.1853200000000001E-2</v>
      </c>
      <c r="G59" s="6">
        <v>5.8307899999999998E-3</v>
      </c>
    </row>
    <row r="60" spans="1:7" ht="12.75" x14ac:dyDescent="0.2">
      <c r="A60" t="s">
        <v>73</v>
      </c>
      <c r="B60" t="s">
        <v>27</v>
      </c>
      <c r="C60" s="3">
        <v>1.16079</v>
      </c>
      <c r="D60" s="5">
        <v>7.0038000000000003E-2</v>
      </c>
      <c r="F60" s="5">
        <v>8.1853200000000001E-2</v>
      </c>
      <c r="G60" s="5">
        <v>-1.18152E-2</v>
      </c>
    </row>
    <row r="61" spans="1:7" ht="12.75" x14ac:dyDescent="0.2">
      <c r="A61" t="s">
        <v>64</v>
      </c>
      <c r="B61" t="s">
        <v>24</v>
      </c>
      <c r="C61" s="2">
        <v>0.52763000000000004</v>
      </c>
      <c r="D61" s="5">
        <v>2.78085E-2</v>
      </c>
      <c r="E61" s="4">
        <v>12.787599999999999</v>
      </c>
      <c r="F61" s="5">
        <v>3.4676800000000001E-2</v>
      </c>
      <c r="G61" s="6">
        <v>-6.8683199999999998E-3</v>
      </c>
    </row>
    <row r="62" spans="1:7" ht="12.75" x14ac:dyDescent="0.2">
      <c r="A62" t="s">
        <v>74</v>
      </c>
      <c r="B62" t="s">
        <v>24</v>
      </c>
      <c r="C62" s="2">
        <v>0.52763000000000004</v>
      </c>
      <c r="D62" s="5">
        <v>3.0322999999999999E-2</v>
      </c>
      <c r="F62" s="5">
        <v>3.4676800000000001E-2</v>
      </c>
      <c r="G62" s="6">
        <v>-4.3538200000000004E-3</v>
      </c>
    </row>
    <row r="63" spans="1:7" ht="12.75" x14ac:dyDescent="0.2">
      <c r="A63" t="s">
        <v>75</v>
      </c>
      <c r="B63" t="s">
        <v>24</v>
      </c>
      <c r="C63" s="2">
        <v>0.52763000000000004</v>
      </c>
      <c r="D63" s="5">
        <v>2.5294000000000001E-2</v>
      </c>
      <c r="F63" s="5">
        <v>3.4676800000000001E-2</v>
      </c>
      <c r="G63" s="6">
        <v>-9.38282E-3</v>
      </c>
    </row>
    <row r="64" spans="1:7" ht="12.75" x14ac:dyDescent="0.2">
      <c r="A64" t="s">
        <v>64</v>
      </c>
      <c r="B64" t="s">
        <v>21</v>
      </c>
      <c r="C64" s="2">
        <v>0.23983199999999999</v>
      </c>
      <c r="D64" s="5">
        <v>1.3051999999999999E-2</v>
      </c>
      <c r="E64" s="4">
        <v>69.182900000000004</v>
      </c>
      <c r="F64" s="5">
        <v>1.4558E-2</v>
      </c>
      <c r="G64" s="6">
        <v>-1.50596E-3</v>
      </c>
    </row>
    <row r="65" spans="1:9" ht="12.75" x14ac:dyDescent="0.2">
      <c r="A65" t="s">
        <v>76</v>
      </c>
      <c r="B65" t="s">
        <v>21</v>
      </c>
      <c r="C65" s="2">
        <v>0.23983199999999999</v>
      </c>
      <c r="D65" s="5">
        <v>1.9436999999999999E-2</v>
      </c>
      <c r="F65" s="5">
        <v>1.4558E-2</v>
      </c>
      <c r="G65" s="6">
        <v>4.8790400000000003E-3</v>
      </c>
    </row>
    <row r="66" spans="1:9" ht="12.75" x14ac:dyDescent="0.2">
      <c r="A66" t="s">
        <v>77</v>
      </c>
      <c r="B66" t="s">
        <v>21</v>
      </c>
      <c r="C66" s="2">
        <v>0.23983199999999999</v>
      </c>
      <c r="D66" s="6">
        <v>6.6670000000000002E-3</v>
      </c>
      <c r="F66" s="5">
        <v>1.4558E-2</v>
      </c>
      <c r="G66" s="6">
        <v>-7.8909600000000007E-3</v>
      </c>
    </row>
    <row r="67" spans="1:9" ht="12.75" x14ac:dyDescent="0.2">
      <c r="A67" t="s">
        <v>64</v>
      </c>
      <c r="B67" t="s">
        <v>17</v>
      </c>
      <c r="C67" s="2">
        <v>0.109014</v>
      </c>
      <c r="D67" s="5">
        <v>1.0799E-2</v>
      </c>
      <c r="E67" t="s">
        <v>65</v>
      </c>
      <c r="F67" s="6">
        <v>5.9780600000000003E-3</v>
      </c>
      <c r="G67" s="6">
        <v>4.8209400000000001E-3</v>
      </c>
    </row>
    <row r="68" spans="1:9" ht="12.75" x14ac:dyDescent="0.2">
      <c r="A68" t="s">
        <v>78</v>
      </c>
      <c r="B68" t="s">
        <v>17</v>
      </c>
      <c r="C68" s="2">
        <v>0.109014</v>
      </c>
      <c r="D68" s="5">
        <v>1.0799E-2</v>
      </c>
      <c r="F68" s="6">
        <v>5.9780600000000003E-3</v>
      </c>
      <c r="G68" s="6">
        <v>4.8209400000000001E-3</v>
      </c>
    </row>
    <row r="69" spans="1:9" ht="12.75" x14ac:dyDescent="0.2">
      <c r="A69" t="s">
        <v>64</v>
      </c>
      <c r="B69" t="s">
        <v>37</v>
      </c>
      <c r="C69" s="2">
        <v>0.109014</v>
      </c>
      <c r="D69" s="6">
        <v>5.202E-3</v>
      </c>
      <c r="E69" t="s">
        <v>65</v>
      </c>
      <c r="F69" s="6">
        <v>5.9780600000000003E-3</v>
      </c>
      <c r="G69" s="7">
        <v>-7.7605600000000001E-4</v>
      </c>
    </row>
    <row r="70" spans="1:9" ht="12.75" x14ac:dyDescent="0.2">
      <c r="A70" t="s">
        <v>79</v>
      </c>
      <c r="B70" t="s">
        <v>37</v>
      </c>
      <c r="C70" s="2">
        <v>0.109014</v>
      </c>
      <c r="D70" s="6">
        <v>5.202E-3</v>
      </c>
      <c r="F70" s="6">
        <v>5.9780600000000003E-3</v>
      </c>
      <c r="G70" s="7">
        <v>-7.7605600000000001E-4</v>
      </c>
    </row>
    <row r="71" spans="1:9" ht="12.75" x14ac:dyDescent="0.2"/>
    <row r="72" spans="1:9" ht="12.75" x14ac:dyDescent="0.2"/>
    <row r="73" spans="1:9" ht="12.75" x14ac:dyDescent="0.2">
      <c r="A73" t="s">
        <v>6</v>
      </c>
    </row>
    <row r="74" spans="1:9" ht="12.75" x14ac:dyDescent="0.2">
      <c r="A74" t="s">
        <v>3</v>
      </c>
    </row>
    <row r="75" spans="1:9" ht="12.75" x14ac:dyDescent="0.2">
      <c r="A75" s="20" t="s">
        <v>80</v>
      </c>
      <c r="B75" s="21">
        <v>1</v>
      </c>
      <c r="C75" s="21">
        <v>2</v>
      </c>
      <c r="D75" s="21">
        <v>3</v>
      </c>
      <c r="E75" s="21">
        <v>4</v>
      </c>
      <c r="F75" s="1"/>
      <c r="G75" s="1"/>
    </row>
    <row r="76" spans="1:9" ht="12.75" x14ac:dyDescent="0.2">
      <c r="A76" s="20" t="s">
        <v>8</v>
      </c>
      <c r="B76" s="23">
        <v>1.0799E-2</v>
      </c>
      <c r="C76" s="24">
        <v>1.0457099999999999</v>
      </c>
      <c r="D76" s="25">
        <v>0.68855299999999997</v>
      </c>
      <c r="E76" s="25">
        <v>0.55503100000000005</v>
      </c>
    </row>
    <row r="77" spans="1:9" ht="12.75" x14ac:dyDescent="0.2">
      <c r="A77" s="20" t="s">
        <v>9</v>
      </c>
      <c r="B77" s="23">
        <v>1.9436999999999999E-2</v>
      </c>
      <c r="C77" s="26">
        <v>6.6670000000000002E-3</v>
      </c>
      <c r="D77" s="25">
        <v>0.30218499999999998</v>
      </c>
      <c r="E77" s="25">
        <v>0.25729099999999999</v>
      </c>
    </row>
    <row r="78" spans="1:9" ht="12.75" x14ac:dyDescent="0.2">
      <c r="A78" s="20" t="s">
        <v>10</v>
      </c>
      <c r="B78" s="23">
        <v>3.0322999999999999E-2</v>
      </c>
      <c r="C78" s="23">
        <v>2.5294000000000001E-2</v>
      </c>
      <c r="D78" s="25">
        <v>0.13000300000000001</v>
      </c>
      <c r="E78" s="25">
        <v>0.128079</v>
      </c>
    </row>
    <row r="79" spans="1:9" ht="12.75" x14ac:dyDescent="0.2">
      <c r="A79" s="20" t="s">
        <v>11</v>
      </c>
      <c r="B79" s="23">
        <v>8.7683999999999998E-2</v>
      </c>
      <c r="C79" s="23">
        <v>7.0038000000000003E-2</v>
      </c>
      <c r="D79" s="23">
        <v>6.4241999999999994E-2</v>
      </c>
      <c r="E79" s="23">
        <v>7.6753000000000002E-2</v>
      </c>
    </row>
    <row r="80" spans="1:9" ht="12.75" x14ac:dyDescent="0.2">
      <c r="A80" s="20" t="s">
        <v>12</v>
      </c>
      <c r="B80" s="25">
        <v>0.22159100000000001</v>
      </c>
      <c r="C80" s="25">
        <v>0.20382400000000001</v>
      </c>
      <c r="D80" s="25">
        <v>0.56731299999999996</v>
      </c>
      <c r="E80" s="25">
        <v>0.52902099999999996</v>
      </c>
      <c r="G80" s="29"/>
      <c r="H80" s="30"/>
      <c r="I80" s="2"/>
    </row>
    <row r="81" spans="1:19" ht="12.75" x14ac:dyDescent="0.2">
      <c r="A81" s="20" t="s">
        <v>13</v>
      </c>
      <c r="B81" s="25">
        <v>0.45299800000000001</v>
      </c>
      <c r="C81" s="25">
        <v>0.42408800000000002</v>
      </c>
      <c r="D81" s="25">
        <v>0.379158</v>
      </c>
      <c r="E81" s="25">
        <v>0.38009199999999999</v>
      </c>
      <c r="G81" s="29"/>
      <c r="H81" s="29"/>
      <c r="I81" s="2"/>
    </row>
    <row r="82" spans="1:19" ht="12.75" x14ac:dyDescent="0.2">
      <c r="A82" s="20" t="s">
        <v>14</v>
      </c>
      <c r="B82" s="24">
        <v>1.10541</v>
      </c>
      <c r="C82" s="26">
        <v>5.202E-3</v>
      </c>
      <c r="D82" s="25">
        <v>0.37665700000000002</v>
      </c>
      <c r="E82" s="25">
        <v>0.31467899999999999</v>
      </c>
      <c r="G82" s="29"/>
      <c r="H82" s="29"/>
      <c r="I82" s="2"/>
    </row>
    <row r="83" spans="1:19" ht="12.75" x14ac:dyDescent="0.2">
      <c r="A83" s="20" t="s">
        <v>15</v>
      </c>
      <c r="B83" s="20"/>
      <c r="C83" s="20"/>
      <c r="D83" s="25">
        <v>0.46384700000000001</v>
      </c>
      <c r="E83" s="25">
        <v>0.41843799999999998</v>
      </c>
      <c r="G83" s="8"/>
      <c r="H83" s="8"/>
      <c r="I83" s="2"/>
    </row>
    <row r="84" spans="1:19" ht="12.75" x14ac:dyDescent="0.2">
      <c r="G84" s="8"/>
      <c r="H84" s="8"/>
      <c r="I84" s="2"/>
    </row>
    <row r="85" spans="1:19" ht="12.75" x14ac:dyDescent="0.2">
      <c r="A85" s="20" t="s">
        <v>59</v>
      </c>
      <c r="B85" s="21">
        <v>1</v>
      </c>
      <c r="C85" s="21">
        <v>2</v>
      </c>
      <c r="D85" s="21">
        <v>3</v>
      </c>
      <c r="E85" s="21">
        <v>4</v>
      </c>
      <c r="F85" s="1"/>
      <c r="G85" s="8"/>
      <c r="H85" s="8"/>
      <c r="I85" s="2"/>
    </row>
    <row r="86" spans="1:19" ht="12.75" x14ac:dyDescent="0.2">
      <c r="A86" s="20" t="s">
        <v>8</v>
      </c>
      <c r="B86" s="25">
        <v>0.183499</v>
      </c>
      <c r="C86" s="22">
        <v>12.204499999999999</v>
      </c>
      <c r="D86" s="24">
        <v>8.2928800000000003</v>
      </c>
      <c r="E86" s="24">
        <v>6.79434</v>
      </c>
      <c r="F86" s="3"/>
      <c r="G86" s="31"/>
      <c r="H86" s="31"/>
      <c r="I86" s="2"/>
    </row>
    <row r="87" spans="1:19" ht="12.75" x14ac:dyDescent="0.2">
      <c r="A87" s="20" t="s">
        <v>9</v>
      </c>
      <c r="B87" s="25">
        <v>0.31140400000000001</v>
      </c>
      <c r="C87" s="25">
        <v>0.119864</v>
      </c>
      <c r="D87" s="24">
        <v>3.8735200000000001</v>
      </c>
      <c r="E87" s="24">
        <v>3.3387099999999998</v>
      </c>
      <c r="F87" s="3"/>
    </row>
    <row r="88" spans="1:19" ht="12.75" x14ac:dyDescent="0.2">
      <c r="A88" s="20" t="s">
        <v>10</v>
      </c>
      <c r="B88" s="25">
        <v>0.466748</v>
      </c>
      <c r="C88" s="25">
        <v>0.39560699999999999</v>
      </c>
      <c r="D88" s="24">
        <v>1.7779</v>
      </c>
      <c r="E88" s="24">
        <v>1.7536099999999999</v>
      </c>
      <c r="F88" s="3"/>
      <c r="G88" s="38" t="s">
        <v>229</v>
      </c>
      <c r="H88" s="38"/>
      <c r="I88" s="38"/>
    </row>
    <row r="89" spans="1:19" ht="12.75" x14ac:dyDescent="0.2">
      <c r="A89" s="20" t="s">
        <v>11</v>
      </c>
      <c r="B89" s="24">
        <v>1.23671</v>
      </c>
      <c r="C89" s="24">
        <v>1.0056499999999999</v>
      </c>
      <c r="D89" s="25">
        <v>0.92885200000000001</v>
      </c>
      <c r="E89" s="24">
        <v>1.0940399999999999</v>
      </c>
      <c r="F89" s="3"/>
      <c r="G89" s="35" t="s">
        <v>215</v>
      </c>
      <c r="H89" s="35" t="s">
        <v>216</v>
      </c>
      <c r="I89" s="35" t="s">
        <v>217</v>
      </c>
      <c r="J89" s="35" t="s">
        <v>218</v>
      </c>
      <c r="R89" s="28"/>
      <c r="S89" s="28"/>
    </row>
    <row r="90" spans="1:19" ht="12.75" x14ac:dyDescent="0.2">
      <c r="A90" s="20" t="s">
        <v>12</v>
      </c>
      <c r="B90" s="24">
        <v>2.9084500000000002</v>
      </c>
      <c r="C90" s="24">
        <v>2.6924299999999999</v>
      </c>
      <c r="D90" s="24">
        <v>6.93323</v>
      </c>
      <c r="E90" s="24">
        <v>6.49946</v>
      </c>
      <c r="F90" s="3"/>
      <c r="G90" s="35">
        <v>50</v>
      </c>
      <c r="H90" s="35">
        <v>7.5436100000000001</v>
      </c>
      <c r="I90" s="35">
        <f>G90*H90</f>
        <v>377.18049999999999</v>
      </c>
      <c r="J90" s="35">
        <f>(I90/360.6115)*100</f>
        <v>104.59469539934251</v>
      </c>
      <c r="R90" s="28"/>
      <c r="S90" s="28"/>
    </row>
    <row r="91" spans="1:19" ht="12.75" x14ac:dyDescent="0.2">
      <c r="A91" s="20" t="s">
        <v>13</v>
      </c>
      <c r="B91" s="24">
        <v>5.6311099999999996</v>
      </c>
      <c r="C91" s="24">
        <v>5.2981100000000003</v>
      </c>
      <c r="D91" s="24">
        <v>4.7771699999999999</v>
      </c>
      <c r="E91" s="24">
        <v>4.7880399999999996</v>
      </c>
      <c r="F91" s="3"/>
      <c r="G91" s="35">
        <v>100</v>
      </c>
      <c r="H91" s="35">
        <v>3.606115</v>
      </c>
      <c r="I91" s="35">
        <f t="shared" ref="I91:I93" si="0">G91*H91</f>
        <v>360.61149999999998</v>
      </c>
      <c r="J91" s="35">
        <f t="shared" ref="J91:J93" si="1">(I91/360.6115)*100</f>
        <v>100</v>
      </c>
      <c r="K91" s="36" t="s">
        <v>219</v>
      </c>
      <c r="L91" s="36"/>
      <c r="M91" s="36"/>
      <c r="N91" s="36"/>
      <c r="R91" s="28"/>
      <c r="S91" s="28"/>
    </row>
    <row r="92" spans="1:19" ht="12.75" x14ac:dyDescent="0.2">
      <c r="A92" s="20" t="s">
        <v>14</v>
      </c>
      <c r="B92" s="22">
        <v>12.8475</v>
      </c>
      <c r="C92" s="23">
        <v>9.6687300000000004E-2</v>
      </c>
      <c r="D92" s="24">
        <v>4.7480399999999996</v>
      </c>
      <c r="E92" s="24">
        <v>4.0212700000000003</v>
      </c>
      <c r="F92" s="3"/>
      <c r="G92" s="35">
        <v>200</v>
      </c>
      <c r="H92" s="35">
        <v>1.765755</v>
      </c>
      <c r="I92" s="35">
        <f t="shared" si="0"/>
        <v>353.15100000000001</v>
      </c>
      <c r="J92" s="35">
        <f t="shared" si="1"/>
        <v>97.931153055296363</v>
      </c>
      <c r="L92" s="8"/>
      <c r="R92" s="28"/>
      <c r="S92" s="28"/>
    </row>
    <row r="93" spans="1:19" ht="12.75" x14ac:dyDescent="0.2">
      <c r="A93" s="20" t="s">
        <v>15</v>
      </c>
      <c r="B93" s="20"/>
      <c r="C93" s="20"/>
      <c r="D93" s="24">
        <v>5.7556599999999998</v>
      </c>
      <c r="E93" s="24">
        <v>5.2328400000000004</v>
      </c>
      <c r="F93" s="3"/>
      <c r="G93" s="35">
        <v>400</v>
      </c>
      <c r="H93" s="35">
        <v>1.0114459999999998</v>
      </c>
      <c r="I93" s="35">
        <f t="shared" si="0"/>
        <v>404.57839999999993</v>
      </c>
      <c r="J93" s="35">
        <f t="shared" si="1"/>
        <v>112.19231777134118</v>
      </c>
      <c r="L93" s="8"/>
    </row>
    <row r="94" spans="1:19" ht="12.75" x14ac:dyDescent="0.2">
      <c r="G94" s="28"/>
      <c r="H94" s="28"/>
      <c r="I94" s="28"/>
      <c r="J94" s="28"/>
    </row>
    <row r="95" spans="1:19" ht="12.75" x14ac:dyDescent="0.2">
      <c r="A95" s="20" t="s">
        <v>16</v>
      </c>
      <c r="B95" s="21">
        <v>1</v>
      </c>
      <c r="C95" s="21">
        <v>2</v>
      </c>
      <c r="D95" s="21">
        <v>3</v>
      </c>
      <c r="E95" s="21">
        <v>4</v>
      </c>
      <c r="F95" s="1"/>
      <c r="G95" s="38" t="s">
        <v>230</v>
      </c>
      <c r="H95" s="38"/>
      <c r="N95" s="28"/>
    </row>
    <row r="96" spans="1:19" ht="12.75" x14ac:dyDescent="0.2">
      <c r="A96" s="20" t="s">
        <v>8</v>
      </c>
      <c r="B96" s="20" t="s">
        <v>200</v>
      </c>
      <c r="C96" s="20" t="s">
        <v>211</v>
      </c>
      <c r="D96" s="20" t="s">
        <v>212</v>
      </c>
      <c r="E96" s="20" t="s">
        <v>212</v>
      </c>
      <c r="G96" s="35"/>
      <c r="H96" s="35" t="s">
        <v>220</v>
      </c>
      <c r="I96" s="35" t="s">
        <v>221</v>
      </c>
      <c r="J96" s="35" t="s">
        <v>218</v>
      </c>
      <c r="N96" s="28"/>
    </row>
    <row r="97" spans="1:15" ht="12.75" x14ac:dyDescent="0.2">
      <c r="A97" s="20" t="s">
        <v>9</v>
      </c>
      <c r="B97" s="20" t="s">
        <v>202</v>
      </c>
      <c r="C97" s="20" t="s">
        <v>202</v>
      </c>
      <c r="D97" s="20" t="s">
        <v>201</v>
      </c>
      <c r="E97" s="20" t="s">
        <v>201</v>
      </c>
      <c r="G97" s="35" t="s">
        <v>222</v>
      </c>
      <c r="H97" s="35">
        <v>5.83</v>
      </c>
      <c r="I97" s="35">
        <v>6.7163450000000005</v>
      </c>
      <c r="J97" s="35">
        <f>(I97/H97)*100</f>
        <v>115.2031732418525</v>
      </c>
      <c r="N97" s="28"/>
    </row>
    <row r="98" spans="1:15" ht="12.75" x14ac:dyDescent="0.2">
      <c r="A98" s="20" t="s">
        <v>10</v>
      </c>
      <c r="B98" s="20" t="s">
        <v>204</v>
      </c>
      <c r="C98" s="20" t="s">
        <v>204</v>
      </c>
      <c r="D98" s="20" t="s">
        <v>203</v>
      </c>
      <c r="E98" s="20" t="s">
        <v>203</v>
      </c>
      <c r="G98" s="35" t="s">
        <v>223</v>
      </c>
      <c r="H98" s="35">
        <v>4.718</v>
      </c>
      <c r="I98" s="35">
        <v>4.7826050000000002</v>
      </c>
      <c r="J98" s="35">
        <f t="shared" ref="J98:J100" si="2">(I98/H98)*100</f>
        <v>101.36933022467147</v>
      </c>
      <c r="N98" s="28"/>
    </row>
    <row r="99" spans="1:15" ht="12.75" x14ac:dyDescent="0.2">
      <c r="A99" s="20" t="s">
        <v>11</v>
      </c>
      <c r="B99" s="20" t="s">
        <v>206</v>
      </c>
      <c r="C99" s="20" t="s">
        <v>206</v>
      </c>
      <c r="D99" s="20" t="s">
        <v>205</v>
      </c>
      <c r="E99" s="20" t="s">
        <v>205</v>
      </c>
      <c r="G99" s="35" t="s">
        <v>224</v>
      </c>
      <c r="H99" s="35">
        <v>4.1619999999999999</v>
      </c>
      <c r="I99" s="35">
        <v>4.3846550000000004</v>
      </c>
      <c r="J99" s="35">
        <f t="shared" si="2"/>
        <v>105.34971167707835</v>
      </c>
    </row>
    <row r="100" spans="1:15" ht="12.75" x14ac:dyDescent="0.2">
      <c r="A100" s="20" t="s">
        <v>12</v>
      </c>
      <c r="B100" s="20" t="s">
        <v>207</v>
      </c>
      <c r="C100" s="20" t="s">
        <v>207</v>
      </c>
      <c r="D100" s="20" t="s">
        <v>208</v>
      </c>
      <c r="E100" s="20" t="s">
        <v>208</v>
      </c>
      <c r="G100" s="35" t="s">
        <v>225</v>
      </c>
      <c r="H100" s="35">
        <v>4.0031999999999996</v>
      </c>
      <c r="I100" s="35">
        <v>5.4942500000000001</v>
      </c>
      <c r="J100" s="35">
        <f t="shared" si="2"/>
        <v>137.24645283772983</v>
      </c>
    </row>
    <row r="101" spans="1:15" ht="12.75" x14ac:dyDescent="0.2">
      <c r="A101" s="20" t="s">
        <v>13</v>
      </c>
      <c r="B101" s="20" t="s">
        <v>209</v>
      </c>
      <c r="C101" s="20" t="s">
        <v>209</v>
      </c>
      <c r="D101" s="20" t="s">
        <v>210</v>
      </c>
      <c r="E101" s="20" t="s">
        <v>210</v>
      </c>
    </row>
    <row r="102" spans="1:15" ht="12.75" x14ac:dyDescent="0.2">
      <c r="A102" s="20" t="s">
        <v>14</v>
      </c>
      <c r="B102" s="20" t="s">
        <v>211</v>
      </c>
      <c r="C102" s="20" t="s">
        <v>200</v>
      </c>
      <c r="D102" s="20" t="s">
        <v>213</v>
      </c>
      <c r="E102" s="20" t="s">
        <v>213</v>
      </c>
    </row>
    <row r="103" spans="1:15" ht="12.75" x14ac:dyDescent="0.2">
      <c r="A103" s="20" t="s">
        <v>15</v>
      </c>
      <c r="B103" s="20" t="s">
        <v>40</v>
      </c>
      <c r="C103" s="20" t="s">
        <v>40</v>
      </c>
      <c r="D103" s="20" t="s">
        <v>214</v>
      </c>
      <c r="E103" s="20" t="s">
        <v>214</v>
      </c>
    </row>
    <row r="104" spans="1:15" ht="15" customHeight="1" x14ac:dyDescent="0.2">
      <c r="G104" s="37" t="s">
        <v>226</v>
      </c>
      <c r="H104" s="37"/>
      <c r="I104" s="37"/>
      <c r="J104" s="39" t="s">
        <v>231</v>
      </c>
      <c r="K104" s="39"/>
      <c r="L104" s="39"/>
      <c r="M104" s="39"/>
      <c r="N104" s="39"/>
      <c r="O104" s="39"/>
    </row>
    <row r="105" spans="1:15" s="33" customFormat="1" ht="30.75" customHeight="1" x14ac:dyDescent="0.2">
      <c r="A105" s="33" t="s">
        <v>81</v>
      </c>
      <c r="G105" s="34"/>
      <c r="H105" s="32" t="s">
        <v>228</v>
      </c>
      <c r="I105" s="32" t="s">
        <v>227</v>
      </c>
    </row>
    <row r="106" spans="1:15" ht="15" customHeight="1" x14ac:dyDescent="0.2">
      <c r="G106" s="20" t="s">
        <v>222</v>
      </c>
      <c r="H106" s="20">
        <v>375</v>
      </c>
      <c r="I106" s="20">
        <v>125</v>
      </c>
    </row>
    <row r="107" spans="1:15" ht="15" customHeight="1" x14ac:dyDescent="0.2">
      <c r="A107" s="42" t="s">
        <v>232</v>
      </c>
      <c r="B107" s="42"/>
      <c r="C107" s="42"/>
      <c r="D107" s="42"/>
      <c r="E107" s="42"/>
      <c r="G107" s="20" t="s">
        <v>223</v>
      </c>
      <c r="H107" s="20">
        <v>437.5</v>
      </c>
      <c r="I107" s="20">
        <v>62.5</v>
      </c>
    </row>
    <row r="108" spans="1:15" ht="15" customHeight="1" x14ac:dyDescent="0.2">
      <c r="G108" s="20" t="s">
        <v>224</v>
      </c>
      <c r="H108" s="20">
        <v>468.75</v>
      </c>
      <c r="I108" s="20">
        <v>31.25</v>
      </c>
    </row>
    <row r="109" spans="1:15" ht="15" customHeight="1" x14ac:dyDescent="0.2">
      <c r="G109" s="20" t="s">
        <v>225</v>
      </c>
      <c r="H109" s="20">
        <v>334.375</v>
      </c>
      <c r="I109" s="20">
        <v>15.625</v>
      </c>
    </row>
  </sheetData>
  <mergeCells count="6">
    <mergeCell ref="A107:E107"/>
    <mergeCell ref="K91:N91"/>
    <mergeCell ref="G104:I104"/>
    <mergeCell ref="G88:I88"/>
    <mergeCell ref="G95:H95"/>
    <mergeCell ref="J104:O10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87</v>
      </c>
    </row>
    <row r="3" spans="1:5" ht="15" customHeight="1" x14ac:dyDescent="0.2">
      <c r="B3" t="s">
        <v>88</v>
      </c>
      <c r="E3" t="s">
        <v>89</v>
      </c>
    </row>
    <row r="4" spans="1:5" ht="15" customHeight="1" x14ac:dyDescent="0.2">
      <c r="B4" t="s">
        <v>90</v>
      </c>
      <c r="E4" t="s">
        <v>91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92</v>
      </c>
    </row>
    <row r="3" spans="1:5" ht="15" customHeight="1" x14ac:dyDescent="0.2">
      <c r="B3" t="s">
        <v>93</v>
      </c>
      <c r="E3" t="s">
        <v>1</v>
      </c>
    </row>
    <row r="4" spans="1:5" ht="15" customHeight="1" x14ac:dyDescent="0.2">
      <c r="B4" t="s">
        <v>94</v>
      </c>
      <c r="E4" t="s">
        <v>95</v>
      </c>
    </row>
    <row r="5" spans="1:5" ht="15" customHeight="1" x14ac:dyDescent="0.2">
      <c r="B5" t="s">
        <v>96</v>
      </c>
      <c r="E5" t="s">
        <v>97</v>
      </c>
    </row>
    <row r="6" spans="1:5" ht="15" customHeight="1" x14ac:dyDescent="0.2">
      <c r="B6" t="s">
        <v>98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99</v>
      </c>
    </row>
    <row r="3" spans="1:5" ht="15" customHeight="1" x14ac:dyDescent="0.2">
      <c r="B3" t="s">
        <v>100</v>
      </c>
      <c r="E3" t="s">
        <v>101</v>
      </c>
    </row>
    <row r="4" spans="1:5" ht="15" customHeight="1" x14ac:dyDescent="0.2">
      <c r="B4" t="s">
        <v>102</v>
      </c>
      <c r="E4" t="s">
        <v>103</v>
      </c>
    </row>
    <row r="5" spans="1:5" ht="15" customHeight="1" x14ac:dyDescent="0.2">
      <c r="B5" t="s">
        <v>104</v>
      </c>
      <c r="E5" t="s">
        <v>105</v>
      </c>
    </row>
    <row r="6" spans="1:5" ht="15" customHeight="1" x14ac:dyDescent="0.2">
      <c r="B6" t="s">
        <v>106</v>
      </c>
      <c r="E6" t="s">
        <v>107</v>
      </c>
    </row>
    <row r="8" spans="1:5" ht="15" customHeight="1" x14ac:dyDescent="0.2">
      <c r="B8" t="s">
        <v>108</v>
      </c>
    </row>
    <row r="10" spans="1:5" ht="15" customHeight="1" x14ac:dyDescent="0.2">
      <c r="B10" t="s">
        <v>109</v>
      </c>
    </row>
    <row r="11" spans="1:5" ht="15" customHeight="1" x14ac:dyDescent="0.2">
      <c r="C11" t="s">
        <v>110</v>
      </c>
      <c r="E11" t="s">
        <v>111</v>
      </c>
    </row>
    <row r="12" spans="1:5" ht="15" customHeight="1" x14ac:dyDescent="0.2">
      <c r="C12" t="s">
        <v>100</v>
      </c>
      <c r="E12" t="s">
        <v>112</v>
      </c>
    </row>
    <row r="13" spans="1:5" ht="15" customHeight="1" x14ac:dyDescent="0.2">
      <c r="C13" t="s">
        <v>113</v>
      </c>
      <c r="E13" t="s">
        <v>114</v>
      </c>
    </row>
    <row r="14" spans="1:5" ht="15" customHeight="1" x14ac:dyDescent="0.2">
      <c r="C14" t="s">
        <v>115</v>
      </c>
      <c r="E14" t="s">
        <v>116</v>
      </c>
    </row>
    <row r="15" spans="1:5" ht="15" customHeight="1" x14ac:dyDescent="0.2">
      <c r="C15" t="s">
        <v>117</v>
      </c>
      <c r="E15" t="s">
        <v>118</v>
      </c>
    </row>
    <row r="16" spans="1:5" ht="15" customHeight="1" x14ac:dyDescent="0.2">
      <c r="C16" t="s">
        <v>119</v>
      </c>
      <c r="E16" t="s">
        <v>120</v>
      </c>
    </row>
    <row r="18" spans="2:5" ht="15" customHeight="1" x14ac:dyDescent="0.2">
      <c r="B18" t="s">
        <v>109</v>
      </c>
    </row>
    <row r="19" spans="2:5" ht="15" customHeight="1" x14ac:dyDescent="0.2">
      <c r="C19" t="s">
        <v>110</v>
      </c>
      <c r="E19" t="s">
        <v>121</v>
      </c>
    </row>
    <row r="20" spans="2:5" ht="15" customHeight="1" x14ac:dyDescent="0.2">
      <c r="C20" t="s">
        <v>100</v>
      </c>
      <c r="E20" t="s">
        <v>122</v>
      </c>
    </row>
    <row r="21" spans="2:5" ht="15" customHeight="1" x14ac:dyDescent="0.2">
      <c r="C21" t="s">
        <v>113</v>
      </c>
      <c r="E21" t="s">
        <v>123</v>
      </c>
    </row>
    <row r="22" spans="2:5" ht="15" customHeight="1" x14ac:dyDescent="0.2">
      <c r="C22" t="s">
        <v>115</v>
      </c>
      <c r="E22" t="s">
        <v>124</v>
      </c>
    </row>
    <row r="23" spans="2:5" ht="15" customHeight="1" x14ac:dyDescent="0.2">
      <c r="C23" t="s">
        <v>117</v>
      </c>
      <c r="E23" t="s">
        <v>118</v>
      </c>
    </row>
    <row r="24" spans="2:5" ht="15" customHeight="1" x14ac:dyDescent="0.2">
      <c r="C24" t="s">
        <v>119</v>
      </c>
      <c r="E24" t="s">
        <v>120</v>
      </c>
    </row>
    <row r="26" spans="2:5" ht="15" customHeight="1" x14ac:dyDescent="0.2">
      <c r="B26" t="s">
        <v>109</v>
      </c>
    </row>
    <row r="27" spans="2:5" ht="15" customHeight="1" x14ac:dyDescent="0.2">
      <c r="C27" t="s">
        <v>110</v>
      </c>
      <c r="E27" t="s">
        <v>125</v>
      </c>
    </row>
    <row r="28" spans="2:5" ht="15" customHeight="1" x14ac:dyDescent="0.2">
      <c r="C28" t="s">
        <v>100</v>
      </c>
      <c r="E28" t="s">
        <v>126</v>
      </c>
    </row>
    <row r="29" spans="2:5" ht="15" customHeight="1" x14ac:dyDescent="0.2">
      <c r="C29" t="s">
        <v>113</v>
      </c>
      <c r="E29" t="s">
        <v>127</v>
      </c>
    </row>
    <row r="30" spans="2:5" ht="15" customHeight="1" x14ac:dyDescent="0.2">
      <c r="C30" t="s">
        <v>115</v>
      </c>
      <c r="E30" t="s">
        <v>124</v>
      </c>
    </row>
    <row r="31" spans="2:5" ht="15" customHeight="1" x14ac:dyDescent="0.2">
      <c r="C31" t="s">
        <v>117</v>
      </c>
      <c r="E31" t="s">
        <v>118</v>
      </c>
    </row>
    <row r="32" spans="2:5" ht="15" customHeight="1" x14ac:dyDescent="0.2">
      <c r="C32" t="s">
        <v>119</v>
      </c>
      <c r="E32" t="s">
        <v>120</v>
      </c>
    </row>
    <row r="34" spans="2:5" ht="15" customHeight="1" x14ac:dyDescent="0.2">
      <c r="B34" t="s">
        <v>128</v>
      </c>
    </row>
    <row r="35" spans="2:5" ht="15" customHeight="1" x14ac:dyDescent="0.2">
      <c r="C35" t="s">
        <v>129</v>
      </c>
      <c r="E35" t="s">
        <v>130</v>
      </c>
    </row>
    <row r="36" spans="2:5" ht="15" customHeight="1" x14ac:dyDescent="0.2">
      <c r="C36" t="s">
        <v>100</v>
      </c>
      <c r="E36" t="s">
        <v>131</v>
      </c>
    </row>
    <row r="37" spans="2:5" ht="15" customHeight="1" x14ac:dyDescent="0.2">
      <c r="C37" t="s">
        <v>132</v>
      </c>
      <c r="E37" t="s">
        <v>133</v>
      </c>
    </row>
    <row r="38" spans="2:5" ht="15" customHeight="1" x14ac:dyDescent="0.2">
      <c r="C38" t="s">
        <v>115</v>
      </c>
      <c r="E38" t="s">
        <v>134</v>
      </c>
    </row>
    <row r="39" spans="2:5" ht="12.75" x14ac:dyDescent="0.2">
      <c r="C39" t="s">
        <v>117</v>
      </c>
      <c r="E39" t="s">
        <v>118</v>
      </c>
    </row>
    <row r="40" spans="2:5" ht="12.75" x14ac:dyDescent="0.2">
      <c r="C40" t="s">
        <v>119</v>
      </c>
      <c r="E40" t="s">
        <v>120</v>
      </c>
    </row>
    <row r="41" spans="2:5" ht="12.75" x14ac:dyDescent="0.2"/>
    <row r="42" spans="2:5" ht="12.75" x14ac:dyDescent="0.2">
      <c r="B42" t="s">
        <v>128</v>
      </c>
    </row>
    <row r="43" spans="2:5" ht="12.75" x14ac:dyDescent="0.2">
      <c r="C43" t="s">
        <v>129</v>
      </c>
      <c r="E43" t="s">
        <v>135</v>
      </c>
    </row>
    <row r="44" spans="2:5" ht="12.75" x14ac:dyDescent="0.2">
      <c r="C44" t="s">
        <v>100</v>
      </c>
      <c r="E44" t="s">
        <v>136</v>
      </c>
    </row>
    <row r="45" spans="2:5" ht="12.75" x14ac:dyDescent="0.2">
      <c r="C45" t="s">
        <v>132</v>
      </c>
      <c r="E45" t="s">
        <v>137</v>
      </c>
    </row>
    <row r="46" spans="2:5" ht="12.75" x14ac:dyDescent="0.2">
      <c r="C46" t="s">
        <v>115</v>
      </c>
      <c r="E46" t="s">
        <v>124</v>
      </c>
    </row>
    <row r="47" spans="2:5" ht="12.75" x14ac:dyDescent="0.2">
      <c r="C47" t="s">
        <v>117</v>
      </c>
      <c r="E47" t="s">
        <v>118</v>
      </c>
    </row>
    <row r="48" spans="2:5" ht="12.75" x14ac:dyDescent="0.2">
      <c r="C48" t="s">
        <v>119</v>
      </c>
      <c r="E48" t="s">
        <v>120</v>
      </c>
    </row>
    <row r="49" spans="2:5" ht="12.75" x14ac:dyDescent="0.2"/>
    <row r="50" spans="2:5" ht="12.75" x14ac:dyDescent="0.2">
      <c r="B50" t="s">
        <v>128</v>
      </c>
    </row>
    <row r="51" spans="2:5" ht="12.75" x14ac:dyDescent="0.2">
      <c r="C51" t="s">
        <v>129</v>
      </c>
      <c r="E51" t="s">
        <v>138</v>
      </c>
    </row>
    <row r="52" spans="2:5" ht="12.75" x14ac:dyDescent="0.2">
      <c r="C52" t="s">
        <v>100</v>
      </c>
      <c r="E52" t="s">
        <v>139</v>
      </c>
    </row>
    <row r="53" spans="2:5" ht="12.75" x14ac:dyDescent="0.2">
      <c r="C53" t="s">
        <v>132</v>
      </c>
      <c r="E53" t="s">
        <v>140</v>
      </c>
    </row>
    <row r="54" spans="2:5" ht="12.75" x14ac:dyDescent="0.2">
      <c r="C54" t="s">
        <v>115</v>
      </c>
      <c r="E54" t="s">
        <v>141</v>
      </c>
    </row>
    <row r="55" spans="2:5" ht="12.75" x14ac:dyDescent="0.2">
      <c r="C55" t="s">
        <v>117</v>
      </c>
      <c r="E55" t="s">
        <v>118</v>
      </c>
    </row>
    <row r="56" spans="2:5" ht="12.75" x14ac:dyDescent="0.2">
      <c r="C56" t="s">
        <v>119</v>
      </c>
      <c r="E56" t="s">
        <v>120</v>
      </c>
    </row>
    <row r="57" spans="2:5" ht="12.75" x14ac:dyDescent="0.2"/>
    <row r="58" spans="2:5" ht="12.75" x14ac:dyDescent="0.2">
      <c r="B58" t="s">
        <v>142</v>
      </c>
    </row>
    <row r="59" spans="2:5" ht="12.75" x14ac:dyDescent="0.2">
      <c r="C59" t="s">
        <v>100</v>
      </c>
      <c r="E59" t="s">
        <v>143</v>
      </c>
    </row>
    <row r="60" spans="2:5" ht="12.75" x14ac:dyDescent="0.2">
      <c r="C60" t="s">
        <v>110</v>
      </c>
      <c r="E60" t="s">
        <v>111</v>
      </c>
    </row>
    <row r="61" spans="2:5" ht="12.75" x14ac:dyDescent="0.2">
      <c r="C61" t="s">
        <v>100</v>
      </c>
      <c r="E61" t="s">
        <v>112</v>
      </c>
    </row>
    <row r="62" spans="2:5" ht="12.75" x14ac:dyDescent="0.2">
      <c r="C62" t="s">
        <v>113</v>
      </c>
      <c r="E62" t="s">
        <v>114</v>
      </c>
    </row>
    <row r="63" spans="2:5" ht="12.75" x14ac:dyDescent="0.2">
      <c r="C63" t="s">
        <v>129</v>
      </c>
      <c r="E63" t="s">
        <v>130</v>
      </c>
    </row>
    <row r="64" spans="2:5" ht="12.75" x14ac:dyDescent="0.2">
      <c r="C64" t="s">
        <v>100</v>
      </c>
      <c r="E64" t="s">
        <v>131</v>
      </c>
    </row>
    <row r="65" spans="2:5" ht="12.75" x14ac:dyDescent="0.2">
      <c r="C65" t="s">
        <v>132</v>
      </c>
      <c r="E65" t="s">
        <v>133</v>
      </c>
    </row>
    <row r="66" spans="2:5" ht="12.75" x14ac:dyDescent="0.2">
      <c r="C66" t="s">
        <v>117</v>
      </c>
      <c r="E66" t="s">
        <v>118</v>
      </c>
    </row>
    <row r="67" spans="2:5" ht="12.75" x14ac:dyDescent="0.2">
      <c r="C67" t="s">
        <v>144</v>
      </c>
      <c r="E67" t="s">
        <v>145</v>
      </c>
    </row>
    <row r="68" spans="2:5" ht="12.75" x14ac:dyDescent="0.2"/>
    <row r="69" spans="2:5" ht="12.75" x14ac:dyDescent="0.2">
      <c r="B69" t="s">
        <v>142</v>
      </c>
    </row>
    <row r="70" spans="2:5" ht="12.75" x14ac:dyDescent="0.2">
      <c r="C70" t="s">
        <v>100</v>
      </c>
      <c r="E70" t="s">
        <v>146</v>
      </c>
    </row>
    <row r="71" spans="2:5" ht="12.75" x14ac:dyDescent="0.2">
      <c r="C71" t="s">
        <v>110</v>
      </c>
      <c r="E71" t="s">
        <v>121</v>
      </c>
    </row>
    <row r="72" spans="2:5" ht="12.75" x14ac:dyDescent="0.2">
      <c r="C72" t="s">
        <v>100</v>
      </c>
      <c r="E72" t="s">
        <v>122</v>
      </c>
    </row>
    <row r="73" spans="2:5" ht="12.75" x14ac:dyDescent="0.2">
      <c r="C73" t="s">
        <v>113</v>
      </c>
      <c r="E73" t="s">
        <v>123</v>
      </c>
    </row>
    <row r="74" spans="2:5" ht="12.75" x14ac:dyDescent="0.2">
      <c r="C74" t="s">
        <v>129</v>
      </c>
      <c r="E74" t="s">
        <v>135</v>
      </c>
    </row>
    <row r="75" spans="2:5" ht="12.75" x14ac:dyDescent="0.2">
      <c r="C75" t="s">
        <v>100</v>
      </c>
      <c r="E75" t="s">
        <v>136</v>
      </c>
    </row>
    <row r="76" spans="2:5" ht="12.75" x14ac:dyDescent="0.2">
      <c r="C76" t="s">
        <v>132</v>
      </c>
      <c r="E76" t="s">
        <v>137</v>
      </c>
    </row>
    <row r="77" spans="2:5" ht="12.75" x14ac:dyDescent="0.2">
      <c r="C77" t="s">
        <v>117</v>
      </c>
      <c r="E77" t="s">
        <v>118</v>
      </c>
    </row>
    <row r="78" spans="2:5" ht="12.75" x14ac:dyDescent="0.2">
      <c r="C78" t="s">
        <v>144</v>
      </c>
      <c r="E78" t="s">
        <v>145</v>
      </c>
    </row>
    <row r="79" spans="2:5" ht="12.75" x14ac:dyDescent="0.2"/>
    <row r="80" spans="2:5" ht="12.75" x14ac:dyDescent="0.2">
      <c r="B80" t="s">
        <v>142</v>
      </c>
    </row>
    <row r="81" spans="3:5" ht="12.75" x14ac:dyDescent="0.2">
      <c r="C81" t="s">
        <v>100</v>
      </c>
      <c r="E81" t="s">
        <v>147</v>
      </c>
    </row>
    <row r="82" spans="3:5" ht="12.75" x14ac:dyDescent="0.2">
      <c r="C82" t="s">
        <v>110</v>
      </c>
      <c r="E82" t="s">
        <v>125</v>
      </c>
    </row>
    <row r="83" spans="3:5" ht="12.75" x14ac:dyDescent="0.2">
      <c r="C83" t="s">
        <v>100</v>
      </c>
      <c r="E83" t="s">
        <v>126</v>
      </c>
    </row>
    <row r="84" spans="3:5" ht="12.75" x14ac:dyDescent="0.2">
      <c r="C84" t="s">
        <v>113</v>
      </c>
      <c r="E84" t="s">
        <v>127</v>
      </c>
    </row>
    <row r="85" spans="3:5" ht="12.75" x14ac:dyDescent="0.2">
      <c r="C85" t="s">
        <v>129</v>
      </c>
      <c r="E85" t="s">
        <v>138</v>
      </c>
    </row>
    <row r="86" spans="3:5" ht="12.75" x14ac:dyDescent="0.2">
      <c r="C86" t="s">
        <v>100</v>
      </c>
      <c r="E86" t="s">
        <v>139</v>
      </c>
    </row>
    <row r="87" spans="3:5" ht="12.75" x14ac:dyDescent="0.2">
      <c r="C87" t="s">
        <v>132</v>
      </c>
      <c r="E87" t="s">
        <v>140</v>
      </c>
    </row>
    <row r="88" spans="3:5" ht="12.75" x14ac:dyDescent="0.2">
      <c r="C88" t="s">
        <v>117</v>
      </c>
      <c r="E88" t="s">
        <v>118</v>
      </c>
    </row>
    <row r="89" spans="3:5" ht="12.75" x14ac:dyDescent="0.2">
      <c r="C89" t="s">
        <v>144</v>
      </c>
      <c r="E89" t="s">
        <v>145</v>
      </c>
    </row>
    <row r="90" spans="3:5" ht="12.75" x14ac:dyDescent="0.2"/>
    <row r="91" spans="3:5" ht="12.75" x14ac:dyDescent="0.2">
      <c r="C91" t="s">
        <v>148</v>
      </c>
      <c r="E91" t="s">
        <v>118</v>
      </c>
    </row>
    <row r="92" spans="3:5" ht="12.75" x14ac:dyDescent="0.2">
      <c r="C92" t="s">
        <v>149</v>
      </c>
      <c r="E92" t="s">
        <v>150</v>
      </c>
    </row>
    <row r="93" spans="3:5" ht="12.75" x14ac:dyDescent="0.2">
      <c r="C93" t="s">
        <v>151</v>
      </c>
      <c r="E93" t="s">
        <v>118</v>
      </c>
    </row>
    <row r="94" spans="3:5" ht="12.75" x14ac:dyDescent="0.2">
      <c r="C94" t="s">
        <v>152</v>
      </c>
      <c r="E94" t="s">
        <v>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153</v>
      </c>
    </row>
    <row r="3" spans="1:5" ht="15" customHeight="1" x14ac:dyDescent="0.2">
      <c r="B3" t="s">
        <v>154</v>
      </c>
      <c r="E3" t="s">
        <v>145</v>
      </c>
    </row>
    <row r="4" spans="1:5" ht="15" customHeight="1" x14ac:dyDescent="0.2">
      <c r="B4" t="s">
        <v>155</v>
      </c>
      <c r="E4" t="s">
        <v>150</v>
      </c>
    </row>
    <row r="5" spans="1:5" ht="15" customHeight="1" x14ac:dyDescent="0.2">
      <c r="B5" t="s">
        <v>156</v>
      </c>
      <c r="E5" t="s">
        <v>150</v>
      </c>
    </row>
    <row r="7" spans="1:5" ht="15" customHeight="1" x14ac:dyDescent="0.2">
      <c r="A7" t="s">
        <v>157</v>
      </c>
    </row>
    <row r="9" spans="1:5" ht="15" customHeight="1" x14ac:dyDescent="0.2">
      <c r="B9" t="s">
        <v>158</v>
      </c>
      <c r="E9" t="s">
        <v>159</v>
      </c>
    </row>
    <row r="10" spans="1:5" ht="15" customHeight="1" x14ac:dyDescent="0.2">
      <c r="B10" t="s">
        <v>160</v>
      </c>
      <c r="E10" t="s">
        <v>161</v>
      </c>
    </row>
    <row r="11" spans="1:5" ht="15" customHeight="1" x14ac:dyDescent="0.2">
      <c r="B11" t="s">
        <v>162</v>
      </c>
      <c r="E11" t="s">
        <v>163</v>
      </c>
    </row>
    <row r="12" spans="1:5" ht="15" customHeight="1" x14ac:dyDescent="0.2">
      <c r="B12" t="s">
        <v>164</v>
      </c>
      <c r="E12" t="s">
        <v>165</v>
      </c>
    </row>
    <row r="14" spans="1:5" ht="15" customHeight="1" x14ac:dyDescent="0.2">
      <c r="A14" t="s">
        <v>4</v>
      </c>
    </row>
    <row r="16" spans="1:5" ht="15" customHeight="1" x14ac:dyDescent="0.2">
      <c r="B16" t="s">
        <v>166</v>
      </c>
      <c r="E16" t="s">
        <v>133</v>
      </c>
    </row>
    <row r="17" spans="2:5" ht="15" customHeight="1" x14ac:dyDescent="0.2">
      <c r="B17" t="s">
        <v>167</v>
      </c>
      <c r="E17" t="s">
        <v>150</v>
      </c>
    </row>
    <row r="18" spans="2:5" ht="15" customHeight="1" x14ac:dyDescent="0.2">
      <c r="B18" t="s">
        <v>168</v>
      </c>
      <c r="E18" t="s">
        <v>169</v>
      </c>
    </row>
    <row r="19" spans="2:5" ht="15" customHeight="1" x14ac:dyDescent="0.2">
      <c r="B19" t="s">
        <v>170</v>
      </c>
      <c r="E19" t="s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58.7109375" customWidth="1"/>
    <col min="4" max="4" width="11.85546875" customWidth="1"/>
  </cols>
  <sheetData>
    <row r="1" spans="1:5" ht="15" customHeight="1" x14ac:dyDescent="0.2">
      <c r="A1" t="s">
        <v>171</v>
      </c>
    </row>
    <row r="3" spans="1:5" ht="15" customHeight="1" x14ac:dyDescent="0.2">
      <c r="B3" s="9" t="s">
        <v>172</v>
      </c>
      <c r="C3" s="9" t="s">
        <v>173</v>
      </c>
      <c r="D3" s="9" t="s">
        <v>174</v>
      </c>
      <c r="E3" s="9"/>
    </row>
    <row r="4" spans="1:5" ht="15" customHeight="1" x14ac:dyDescent="0.2">
      <c r="B4" t="s">
        <v>2</v>
      </c>
      <c r="C4" t="s">
        <v>175</v>
      </c>
    </row>
    <row r="5" spans="1:5" ht="15" customHeight="1" x14ac:dyDescent="0.2">
      <c r="B5" t="s">
        <v>176</v>
      </c>
      <c r="C5" t="s">
        <v>177</v>
      </c>
      <c r="D5" t="s">
        <v>178</v>
      </c>
    </row>
    <row r="6" spans="1:5" ht="15" customHeight="1" x14ac:dyDescent="0.2">
      <c r="B6" t="s">
        <v>176</v>
      </c>
      <c r="C6" t="s">
        <v>179</v>
      </c>
    </row>
    <row r="7" spans="1:5" ht="15" customHeight="1" x14ac:dyDescent="0.2">
      <c r="B7" t="s">
        <v>180</v>
      </c>
      <c r="C7" t="s">
        <v>181</v>
      </c>
    </row>
    <row r="8" spans="1:5" ht="15" customHeight="1" x14ac:dyDescent="0.2">
      <c r="B8" t="s">
        <v>180</v>
      </c>
      <c r="C8" t="s">
        <v>182</v>
      </c>
    </row>
    <row r="9" spans="1:5" ht="15" customHeight="1" x14ac:dyDescent="0.2">
      <c r="B9" t="s">
        <v>183</v>
      </c>
      <c r="C9" t="s">
        <v>184</v>
      </c>
    </row>
    <row r="10" spans="1:5" ht="15" customHeight="1" x14ac:dyDescent="0.2">
      <c r="B10" t="s">
        <v>185</v>
      </c>
      <c r="C10" t="s">
        <v>177</v>
      </c>
      <c r="D10" t="s">
        <v>178</v>
      </c>
    </row>
    <row r="11" spans="1:5" ht="15" customHeight="1" x14ac:dyDescent="0.2">
      <c r="B11" t="s">
        <v>186</v>
      </c>
      <c r="C11" t="s">
        <v>177</v>
      </c>
      <c r="D11" t="s">
        <v>178</v>
      </c>
    </row>
    <row r="12" spans="1:5" ht="15" customHeight="1" x14ac:dyDescent="0.2">
      <c r="B12" t="s">
        <v>187</v>
      </c>
      <c r="C12" t="s">
        <v>188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100</v>
      </c>
      <c r="B1" t="s">
        <v>6</v>
      </c>
    </row>
    <row r="2" spans="1:13" ht="15" customHeight="1" x14ac:dyDescent="0.2">
      <c r="A2" t="s">
        <v>189</v>
      </c>
      <c r="B2" t="s">
        <v>190</v>
      </c>
    </row>
    <row r="4" spans="1:13" ht="15" customHeight="1" x14ac:dyDescent="0.2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1:13" ht="15" customHeight="1" x14ac:dyDescent="0.2">
      <c r="A5" s="41" t="s">
        <v>8</v>
      </c>
      <c r="B5" s="11" t="s">
        <v>17</v>
      </c>
      <c r="C5" s="11" t="s">
        <v>18</v>
      </c>
      <c r="D5" s="12" t="s">
        <v>19</v>
      </c>
      <c r="E5" s="12" t="s">
        <v>20</v>
      </c>
      <c r="F5" s="40"/>
      <c r="G5" s="40"/>
      <c r="H5" s="40"/>
      <c r="I5" s="40"/>
      <c r="J5" s="40"/>
      <c r="K5" s="40"/>
      <c r="L5" s="40"/>
      <c r="M5" s="40"/>
    </row>
    <row r="6" spans="1:13" ht="15" customHeight="1" x14ac:dyDescent="0.2">
      <c r="A6" s="40"/>
      <c r="B6" s="13" t="s">
        <v>191</v>
      </c>
      <c r="C6" s="13" t="s">
        <v>191</v>
      </c>
      <c r="D6" s="14" t="s">
        <v>191</v>
      </c>
      <c r="E6" s="14" t="s">
        <v>191</v>
      </c>
      <c r="F6" s="40"/>
      <c r="G6" s="40"/>
      <c r="H6" s="40"/>
      <c r="I6" s="40"/>
      <c r="J6" s="40"/>
      <c r="K6" s="40"/>
      <c r="L6" s="40"/>
      <c r="M6" s="40"/>
    </row>
    <row r="7" spans="1:13" ht="15" customHeight="1" x14ac:dyDescent="0.2">
      <c r="A7" s="40"/>
      <c r="B7" s="15" t="s">
        <v>192</v>
      </c>
      <c r="C7" s="15" t="s">
        <v>193</v>
      </c>
      <c r="D7" s="16" t="s">
        <v>194</v>
      </c>
      <c r="E7" s="16" t="s">
        <v>194</v>
      </c>
      <c r="F7" s="40"/>
      <c r="G7" s="40"/>
      <c r="H7" s="40"/>
      <c r="I7" s="40"/>
      <c r="J7" s="40"/>
      <c r="K7" s="40"/>
      <c r="L7" s="40"/>
      <c r="M7" s="40"/>
    </row>
    <row r="8" spans="1:13" ht="15" customHeight="1" x14ac:dyDescent="0.2">
      <c r="A8" s="41" t="s">
        <v>9</v>
      </c>
      <c r="B8" s="11" t="s">
        <v>21</v>
      </c>
      <c r="C8" s="11" t="s">
        <v>21</v>
      </c>
      <c r="D8" s="12" t="s">
        <v>22</v>
      </c>
      <c r="E8" s="12" t="s">
        <v>23</v>
      </c>
      <c r="F8" s="40"/>
      <c r="G8" s="40"/>
      <c r="H8" s="40"/>
      <c r="I8" s="40"/>
      <c r="J8" s="40"/>
      <c r="K8" s="40"/>
      <c r="L8" s="40"/>
      <c r="M8" s="40"/>
    </row>
    <row r="9" spans="1:13" ht="15" customHeight="1" x14ac:dyDescent="0.2">
      <c r="A9" s="40"/>
      <c r="B9" s="13" t="s">
        <v>191</v>
      </c>
      <c r="C9" s="13" t="s">
        <v>191</v>
      </c>
      <c r="D9" s="14" t="s">
        <v>191</v>
      </c>
      <c r="E9" s="14" t="s">
        <v>191</v>
      </c>
      <c r="F9" s="40"/>
      <c r="G9" s="40"/>
      <c r="H9" s="40"/>
      <c r="I9" s="40"/>
      <c r="J9" s="40"/>
      <c r="K9" s="40"/>
      <c r="L9" s="40"/>
      <c r="M9" s="40"/>
    </row>
    <row r="10" spans="1:13" ht="15" customHeight="1" x14ac:dyDescent="0.2">
      <c r="A10" s="40"/>
      <c r="B10" s="15" t="s">
        <v>195</v>
      </c>
      <c r="C10" s="15" t="s">
        <v>195</v>
      </c>
      <c r="D10" s="16" t="s">
        <v>194</v>
      </c>
      <c r="E10" s="16" t="s">
        <v>194</v>
      </c>
      <c r="F10" s="40"/>
      <c r="G10" s="40"/>
      <c r="H10" s="40"/>
      <c r="I10" s="40"/>
      <c r="J10" s="40"/>
      <c r="K10" s="40"/>
      <c r="L10" s="40"/>
      <c r="M10" s="40"/>
    </row>
    <row r="11" spans="1:13" ht="15" customHeight="1" x14ac:dyDescent="0.2">
      <c r="A11" s="41" t="s">
        <v>10</v>
      </c>
      <c r="B11" s="11" t="s">
        <v>24</v>
      </c>
      <c r="C11" s="11" t="s">
        <v>24</v>
      </c>
      <c r="D11" s="12" t="s">
        <v>25</v>
      </c>
      <c r="E11" s="12" t="s">
        <v>26</v>
      </c>
      <c r="F11" s="40"/>
      <c r="G11" s="40"/>
      <c r="H11" s="40"/>
      <c r="I11" s="40"/>
      <c r="J11" s="40"/>
      <c r="K11" s="40"/>
      <c r="L11" s="40"/>
      <c r="M11" s="40"/>
    </row>
    <row r="12" spans="1:13" ht="15" customHeight="1" x14ac:dyDescent="0.2">
      <c r="A12" s="40"/>
      <c r="B12" s="13" t="s">
        <v>191</v>
      </c>
      <c r="C12" s="13" t="s">
        <v>191</v>
      </c>
      <c r="D12" s="14" t="s">
        <v>191</v>
      </c>
      <c r="E12" s="14" t="s">
        <v>191</v>
      </c>
      <c r="F12" s="40"/>
      <c r="G12" s="40"/>
      <c r="H12" s="40"/>
      <c r="I12" s="40"/>
      <c r="J12" s="40"/>
      <c r="K12" s="40"/>
      <c r="L12" s="40"/>
      <c r="M12" s="40"/>
    </row>
    <row r="13" spans="1:13" ht="15" customHeight="1" x14ac:dyDescent="0.2">
      <c r="A13" s="40"/>
      <c r="B13" s="15" t="s">
        <v>196</v>
      </c>
      <c r="C13" s="15" t="s">
        <v>196</v>
      </c>
      <c r="D13" s="16" t="s">
        <v>194</v>
      </c>
      <c r="E13" s="16" t="s">
        <v>194</v>
      </c>
      <c r="F13" s="40"/>
      <c r="G13" s="40"/>
      <c r="H13" s="40"/>
      <c r="I13" s="40"/>
      <c r="J13" s="40"/>
      <c r="K13" s="40"/>
      <c r="L13" s="40"/>
      <c r="M13" s="40"/>
    </row>
    <row r="14" spans="1:13" ht="15" customHeight="1" x14ac:dyDescent="0.2">
      <c r="A14" s="41" t="s">
        <v>11</v>
      </c>
      <c r="B14" s="11" t="s">
        <v>27</v>
      </c>
      <c r="C14" s="11" t="s">
        <v>27</v>
      </c>
      <c r="D14" s="12" t="s">
        <v>28</v>
      </c>
      <c r="E14" s="12" t="s">
        <v>29</v>
      </c>
      <c r="F14" s="40"/>
      <c r="G14" s="40"/>
      <c r="H14" s="40"/>
      <c r="I14" s="40"/>
      <c r="J14" s="40"/>
      <c r="K14" s="40"/>
      <c r="L14" s="40"/>
      <c r="M14" s="40"/>
    </row>
    <row r="15" spans="1:13" ht="15" customHeight="1" x14ac:dyDescent="0.2">
      <c r="A15" s="40"/>
      <c r="B15" s="13" t="s">
        <v>191</v>
      </c>
      <c r="C15" s="13" t="s">
        <v>191</v>
      </c>
      <c r="D15" s="14" t="s">
        <v>191</v>
      </c>
      <c r="E15" s="14" t="s">
        <v>191</v>
      </c>
      <c r="F15" s="40"/>
      <c r="G15" s="40"/>
      <c r="H15" s="40"/>
      <c r="I15" s="40"/>
      <c r="J15" s="40"/>
      <c r="K15" s="40"/>
      <c r="L15" s="40"/>
      <c r="M15" s="40"/>
    </row>
    <row r="16" spans="1:13" ht="15" customHeight="1" x14ac:dyDescent="0.2">
      <c r="A16" s="40"/>
      <c r="B16" s="15" t="s">
        <v>197</v>
      </c>
      <c r="C16" s="15" t="s">
        <v>197</v>
      </c>
      <c r="D16" s="16" t="s">
        <v>194</v>
      </c>
      <c r="E16" s="16" t="s">
        <v>194</v>
      </c>
      <c r="F16" s="40"/>
      <c r="G16" s="40"/>
      <c r="H16" s="40"/>
      <c r="I16" s="40"/>
      <c r="J16" s="40"/>
      <c r="K16" s="40"/>
      <c r="L16" s="40"/>
      <c r="M16" s="40"/>
    </row>
    <row r="17" spans="1:13" ht="15" customHeight="1" x14ac:dyDescent="0.2">
      <c r="A17" s="41" t="s">
        <v>12</v>
      </c>
      <c r="B17" s="11" t="s">
        <v>30</v>
      </c>
      <c r="C17" s="11" t="s">
        <v>30</v>
      </c>
      <c r="D17" s="12" t="s">
        <v>31</v>
      </c>
      <c r="E17" s="12" t="s">
        <v>32</v>
      </c>
      <c r="F17" s="40"/>
      <c r="G17" s="40"/>
      <c r="H17" s="40"/>
      <c r="I17" s="40"/>
      <c r="J17" s="40"/>
      <c r="K17" s="40"/>
      <c r="L17" s="40"/>
      <c r="M17" s="40"/>
    </row>
    <row r="18" spans="1:13" ht="15" customHeight="1" x14ac:dyDescent="0.2">
      <c r="A18" s="40"/>
      <c r="B18" s="13" t="s">
        <v>191</v>
      </c>
      <c r="C18" s="13" t="s">
        <v>191</v>
      </c>
      <c r="D18" s="14" t="s">
        <v>191</v>
      </c>
      <c r="E18" s="14" t="s">
        <v>191</v>
      </c>
      <c r="F18" s="40"/>
      <c r="G18" s="40"/>
      <c r="H18" s="40"/>
      <c r="I18" s="40"/>
      <c r="J18" s="40"/>
      <c r="K18" s="40"/>
      <c r="L18" s="40"/>
      <c r="M18" s="40"/>
    </row>
    <row r="19" spans="1:13" ht="15" customHeight="1" x14ac:dyDescent="0.2">
      <c r="A19" s="40"/>
      <c r="B19" s="15" t="s">
        <v>198</v>
      </c>
      <c r="C19" s="15" t="s">
        <v>198</v>
      </c>
      <c r="D19" s="16" t="s">
        <v>194</v>
      </c>
      <c r="E19" s="16" t="s">
        <v>194</v>
      </c>
      <c r="F19" s="40"/>
      <c r="G19" s="40"/>
      <c r="H19" s="40"/>
      <c r="I19" s="40"/>
      <c r="J19" s="40"/>
      <c r="K19" s="40"/>
      <c r="L19" s="40"/>
      <c r="M19" s="40"/>
    </row>
    <row r="20" spans="1:13" ht="15" customHeight="1" x14ac:dyDescent="0.2">
      <c r="A20" s="41" t="s">
        <v>13</v>
      </c>
      <c r="B20" s="11" t="s">
        <v>33</v>
      </c>
      <c r="C20" s="11" t="s">
        <v>33</v>
      </c>
      <c r="D20" s="12" t="s">
        <v>34</v>
      </c>
      <c r="E20" s="12" t="s">
        <v>35</v>
      </c>
      <c r="F20" s="40"/>
      <c r="G20" s="40"/>
      <c r="H20" s="40"/>
      <c r="I20" s="40"/>
      <c r="J20" s="40"/>
      <c r="K20" s="40"/>
      <c r="L20" s="40"/>
      <c r="M20" s="40"/>
    </row>
    <row r="21" spans="1:13" ht="15" customHeight="1" x14ac:dyDescent="0.2">
      <c r="A21" s="40"/>
      <c r="B21" s="13" t="s">
        <v>191</v>
      </c>
      <c r="C21" s="13" t="s">
        <v>191</v>
      </c>
      <c r="D21" s="14" t="s">
        <v>191</v>
      </c>
      <c r="E21" s="14" t="s">
        <v>191</v>
      </c>
      <c r="F21" s="40"/>
      <c r="G21" s="40"/>
      <c r="H21" s="40"/>
      <c r="I21" s="40"/>
      <c r="J21" s="40"/>
      <c r="K21" s="40"/>
      <c r="L21" s="40"/>
      <c r="M21" s="40"/>
    </row>
    <row r="22" spans="1:13" ht="15" customHeight="1" x14ac:dyDescent="0.2">
      <c r="A22" s="40"/>
      <c r="B22" s="15" t="s">
        <v>199</v>
      </c>
      <c r="C22" s="15" t="s">
        <v>199</v>
      </c>
      <c r="D22" s="16" t="s">
        <v>194</v>
      </c>
      <c r="E22" s="16" t="s">
        <v>194</v>
      </c>
      <c r="F22" s="40"/>
      <c r="G22" s="40"/>
      <c r="H22" s="40"/>
      <c r="I22" s="40"/>
      <c r="J22" s="40"/>
      <c r="K22" s="40"/>
      <c r="L22" s="40"/>
      <c r="M22" s="40"/>
    </row>
    <row r="23" spans="1:13" ht="15" customHeight="1" x14ac:dyDescent="0.2">
      <c r="A23" s="41" t="s">
        <v>14</v>
      </c>
      <c r="B23" s="11" t="s">
        <v>36</v>
      </c>
      <c r="C23" s="11" t="s">
        <v>37</v>
      </c>
      <c r="D23" s="12" t="s">
        <v>38</v>
      </c>
      <c r="E23" s="12" t="s">
        <v>39</v>
      </c>
      <c r="F23" s="40"/>
      <c r="G23" s="40"/>
      <c r="H23" s="40"/>
      <c r="I23" s="40"/>
      <c r="J23" s="40"/>
      <c r="K23" s="40"/>
      <c r="L23" s="40"/>
      <c r="M23" s="40"/>
    </row>
    <row r="24" spans="1:13" ht="15" customHeight="1" x14ac:dyDescent="0.2">
      <c r="A24" s="40"/>
      <c r="B24" s="13" t="s">
        <v>191</v>
      </c>
      <c r="C24" s="13" t="s">
        <v>191</v>
      </c>
      <c r="D24" s="14" t="s">
        <v>191</v>
      </c>
      <c r="E24" s="14" t="s">
        <v>191</v>
      </c>
      <c r="F24" s="40"/>
      <c r="G24" s="40"/>
      <c r="H24" s="40"/>
      <c r="I24" s="40"/>
      <c r="J24" s="40"/>
      <c r="K24" s="40"/>
      <c r="L24" s="40"/>
      <c r="M24" s="40"/>
    </row>
    <row r="25" spans="1:13" ht="15" customHeight="1" x14ac:dyDescent="0.2">
      <c r="A25" s="40"/>
      <c r="B25" s="15" t="s">
        <v>193</v>
      </c>
      <c r="C25" s="15" t="s">
        <v>192</v>
      </c>
      <c r="D25" s="16" t="s">
        <v>194</v>
      </c>
      <c r="E25" s="16" t="s">
        <v>194</v>
      </c>
      <c r="F25" s="40"/>
      <c r="G25" s="40"/>
      <c r="H25" s="40"/>
      <c r="I25" s="40"/>
      <c r="J25" s="40"/>
      <c r="K25" s="40"/>
      <c r="L25" s="40"/>
      <c r="M25" s="40"/>
    </row>
    <row r="26" spans="1:13" ht="15" customHeight="1" x14ac:dyDescent="0.2">
      <c r="A26" s="41" t="s">
        <v>15</v>
      </c>
      <c r="B26" s="17" t="s">
        <v>40</v>
      </c>
      <c r="C26" s="17" t="s">
        <v>40</v>
      </c>
      <c r="D26" s="12" t="s">
        <v>41</v>
      </c>
      <c r="E26" s="12" t="s">
        <v>42</v>
      </c>
      <c r="F26" s="40"/>
      <c r="G26" s="40"/>
      <c r="H26" s="40"/>
      <c r="I26" s="40"/>
      <c r="J26" s="40"/>
      <c r="K26" s="40"/>
      <c r="L26" s="40"/>
      <c r="M26" s="40"/>
    </row>
    <row r="27" spans="1:13" ht="15" customHeight="1" x14ac:dyDescent="0.2">
      <c r="A27" s="40"/>
      <c r="B27" s="18" t="s">
        <v>191</v>
      </c>
      <c r="C27" s="18" t="s">
        <v>191</v>
      </c>
      <c r="D27" s="14" t="s">
        <v>191</v>
      </c>
      <c r="E27" s="14" t="s">
        <v>191</v>
      </c>
      <c r="F27" s="40"/>
      <c r="G27" s="40"/>
      <c r="H27" s="40"/>
      <c r="I27" s="40"/>
      <c r="J27" s="40"/>
      <c r="K27" s="40"/>
      <c r="L27" s="40"/>
      <c r="M27" s="40"/>
    </row>
    <row r="28" spans="1:13" ht="15" customHeight="1" x14ac:dyDescent="0.2">
      <c r="A28" s="40"/>
      <c r="B28" s="19"/>
      <c r="C28" s="19"/>
      <c r="D28" s="16" t="s">
        <v>194</v>
      </c>
      <c r="E28" s="16" t="s">
        <v>194</v>
      </c>
      <c r="F28" s="40"/>
      <c r="G28" s="40"/>
      <c r="H28" s="40"/>
      <c r="I28" s="40"/>
      <c r="J28" s="40"/>
      <c r="K28" s="40"/>
      <c r="L28" s="40"/>
      <c r="M28" s="40"/>
    </row>
    <row r="33" spans="1:1" ht="15" customHeight="1" x14ac:dyDescent="0.2">
      <c r="A33" t="s">
        <v>3</v>
      </c>
    </row>
  </sheetData>
  <mergeCells count="72">
    <mergeCell ref="A20:A22"/>
    <mergeCell ref="A23:A25"/>
    <mergeCell ref="A26:A28"/>
    <mergeCell ref="F5:F7"/>
    <mergeCell ref="F8:F10"/>
    <mergeCell ref="F11:F13"/>
    <mergeCell ref="F14:F16"/>
    <mergeCell ref="F17:F19"/>
    <mergeCell ref="F20:F22"/>
    <mergeCell ref="F23:F25"/>
    <mergeCell ref="F26:F28"/>
    <mergeCell ref="A5:A7"/>
    <mergeCell ref="A8:A10"/>
    <mergeCell ref="A11:A13"/>
    <mergeCell ref="A14:A16"/>
    <mergeCell ref="A17:A19"/>
    <mergeCell ref="G20:G22"/>
    <mergeCell ref="G23:G25"/>
    <mergeCell ref="G26:G28"/>
    <mergeCell ref="H5:H7"/>
    <mergeCell ref="H8:H10"/>
    <mergeCell ref="H11:H13"/>
    <mergeCell ref="H14:H16"/>
    <mergeCell ref="H17:H19"/>
    <mergeCell ref="H20:H22"/>
    <mergeCell ref="H23:H25"/>
    <mergeCell ref="H26:H28"/>
    <mergeCell ref="G5:G7"/>
    <mergeCell ref="G8:G10"/>
    <mergeCell ref="G11:G13"/>
    <mergeCell ref="G14:G16"/>
    <mergeCell ref="G17:G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M20:M22"/>
    <mergeCell ref="M23:M25"/>
    <mergeCell ref="M26:M28"/>
    <mergeCell ref="M5:M7"/>
    <mergeCell ref="M8:M10"/>
    <mergeCell ref="M11:M13"/>
    <mergeCell ref="M14:M16"/>
    <mergeCell ref="M17:M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Absorbance 1_01</vt:lpstr>
      <vt:lpstr>Standard Curve 1_02</vt:lpstr>
      <vt:lpstr>Blank Subtraction 1_03</vt:lpstr>
      <vt:lpstr>Standard Curve 2_04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2026-08-10T21:43:57Z</dcterms:created>
  <dcterms:modified xsi:type="dcterms:W3CDTF">2026-09-09T19:40:10Z</dcterms:modified>
</cp:coreProperties>
</file>