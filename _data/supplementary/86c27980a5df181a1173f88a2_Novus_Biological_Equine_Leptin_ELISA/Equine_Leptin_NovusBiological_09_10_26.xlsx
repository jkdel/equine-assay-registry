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"/>
    </mc:Choice>
  </mc:AlternateContent>
  <xr:revisionPtr revIDLastSave="198" documentId="13_ncr:1_{CCF57A33-9897-4EBA-980C-B6747DB0E2E6}" xr6:coauthVersionLast="47" xr6:coauthVersionMax="47" xr10:uidLastSave="{1195010F-5863-4843-91C9-79CD071DBFA4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4" l="1"/>
  <c r="L98" i="4"/>
  <c r="K77" i="4"/>
  <c r="K78" i="4"/>
  <c r="K79" i="4"/>
  <c r="K80" i="4"/>
  <c r="L101" i="4"/>
  <c r="L100" i="4"/>
  <c r="L99" i="4"/>
  <c r="K95" i="4"/>
  <c r="K94" i="4"/>
  <c r="K93" i="4"/>
  <c r="K92" i="4"/>
  <c r="K91" i="4"/>
  <c r="L86" i="4"/>
  <c r="L85" i="4"/>
  <c r="L84" i="4"/>
  <c r="K76" i="4"/>
</calcChain>
</file>

<file path=xl/sharedStrings.xml><?xml version="1.0" encoding="utf-8"?>
<sst xmlns="http://schemas.openxmlformats.org/spreadsheetml/2006/main" count="883" uniqueCount="266">
  <si>
    <t>Measurement results</t>
  </si>
  <si>
    <t>Equine Leptin_NovusBiological_09_10_26.skax</t>
  </si>
  <si>
    <t>2026-09-10T16:30:35-05:00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</si>
  <si>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</si>
  <si>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</si>
  <si>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</si>
  <si>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</si>
  <si>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</si>
  <si>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</si>
  <si>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</si>
  <si>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</si>
  <si>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</si>
  <si>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</si>
  <si>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</si>
  <si>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</si>
  <si>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</si>
  <si>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</si>
  <si>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</si>
  <si>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Un0003</t>
  </si>
  <si>
    <t>Un0004</t>
  </si>
  <si>
    <t>Un0005</t>
  </si>
  <si>
    <t>Un0006</t>
  </si>
  <si>
    <t>Std60001</t>
  </si>
  <si>
    <t>Un0007</t>
  </si>
  <si>
    <t>Un0008</t>
  </si>
  <si>
    <t>Un0009</t>
  </si>
  <si>
    <t>Un0010</t>
  </si>
  <si>
    <t>Std50001</t>
  </si>
  <si>
    <t>Un0011</t>
  </si>
  <si>
    <t>Un0012</t>
  </si>
  <si>
    <t>Un0013</t>
  </si>
  <si>
    <t>Un0014</t>
  </si>
  <si>
    <t>Std40001</t>
  </si>
  <si>
    <t>Un0015</t>
  </si>
  <si>
    <t>Un0016</t>
  </si>
  <si>
    <t>Un0017</t>
  </si>
  <si>
    <t>Un0018</t>
  </si>
  <si>
    <t>Std30001</t>
  </si>
  <si>
    <t>Un0019</t>
  </si>
  <si>
    <t>Un0020</t>
  </si>
  <si>
    <t>Un0021</t>
  </si>
  <si>
    <t>Un0022</t>
  </si>
  <si>
    <t>Std20001</t>
  </si>
  <si>
    <t>Un0023</t>
  </si>
  <si>
    <t>Un0024</t>
  </si>
  <si>
    <t>Un0025</t>
  </si>
  <si>
    <t>Un0026</t>
  </si>
  <si>
    <t>Std10001</t>
  </si>
  <si>
    <t>Un0001</t>
  </si>
  <si>
    <t>Un0027</t>
  </si>
  <si>
    <t>Un0028</t>
  </si>
  <si>
    <t>Un0029</t>
  </si>
  <si>
    <t>Un0030</t>
  </si>
  <si>
    <t>Blank1</t>
  </si>
  <si>
    <t>Un0002</t>
  </si>
  <si>
    <t>Un0031</t>
  </si>
  <si>
    <t>Un0032</t>
  </si>
  <si>
    <t>Un0033</t>
  </si>
  <si>
    <t>Un0034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</si>
  <si>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</si>
  <si>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</si>
  <si>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</si>
  <si>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</si>
  <si>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</si>
  <si>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</si>
  <si>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</si>
  <si>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20.4751 + ( (0.138351 - 20.4751) / ( 1 + (x/421.181)^0.831693)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</si>
  <si>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</si>
  <si>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</si>
  <si>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</si>
  <si>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</si>
  <si>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</si>
  <si>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</si>
  <si>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</si>
  <si>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</si>
  <si>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</si>
  <si>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</si>
  <si>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</si>
  <si>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</si>
  <si>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</si>
  <si>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</si>
  <si>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NaN</t>
  </si>
  <si>
    <t>G01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</si>
  <si>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</si>
  <si>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</si>
  <si>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</si>
  <si>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</si>
  <si>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</si>
  <si>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</si>
  <si>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</si>
  <si>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</si>
  <si>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</si>
  <si>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</si>
  <si>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</si>
  <si>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</si>
  <si>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</si>
  <si>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</si>
  <si>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>Autoloading range A1 - M100</t>
  </si>
  <si>
    <t>Blank Subtraction 1</t>
  </si>
  <si>
    <t>Blank subtracted</t>
  </si>
  <si>
    <t>Autoloading range A1 - M31</t>
  </si>
  <si>
    <t>Standard Curve 2</t>
  </si>
  <si>
    <t>y = 20.3012 + ( (-0.0354745 - 20.3012) / ( 1 + (x/421.181)^0.831693)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</si>
  <si>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</si>
  <si>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</si>
  <si>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</si>
  <si>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</si>
  <si>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</si>
  <si>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</si>
  <si>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</si>
  <si>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</si>
  <si>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Equine Leptin_NovusBiological-09_10_26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</si>
  <si>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</si>
  <si>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</si>
  <si>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</si>
  <si>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</si>
  <si>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</si>
  <si>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</si>
  <si>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</si>
  <si>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</si>
  <si>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</si>
  <si>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</si>
  <si>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</si>
  <si>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</si>
  <si>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</si>
  <si>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</si>
  <si>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</si>
  <si>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</si>
  <si>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</si>
  <si>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</si>
  <si>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</si>
  <si>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</si>
  <si>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</si>
  <si>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</si>
  <si>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</si>
  <si>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</si>
  <si>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</si>
  <si>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</si>
  <si>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</si>
  <si>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</si>
  <si>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</si>
  <si>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</si>
  <si>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</si>
  <si>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</si>
  <si>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</si>
  <si>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</si>
  <si>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</si>
  <si>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</si>
  <si>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</si>
  <si>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</si>
  <si>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</si>
  <si>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</si>
  <si>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</si>
  <si>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</si>
  <si>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</si>
  <si>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</si>
  <si>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</si>
  <si>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</si>
  <si>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</si>
  <si>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</si>
  <si>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</si>
  <si>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</si>
  <si>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</si>
  <si>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</si>
  <si>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</si>
  <si>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</si>
  <si>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</si>
  <si>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</si>
  <si>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</si>
  <si>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</si>
  <si>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</si>
  <si>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</si>
  <si>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</si>
  <si>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</si>
  <si>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</si>
  <si>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</si>
  <si>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</si>
  <si>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</si>
  <si>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</si>
  <si>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</si>
  <si>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</si>
  <si>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</si>
  <si>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</si>
  <si>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</si>
  <si>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</si>
  <si>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</si>
  <si>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</si>
  <si>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</si>
  <si>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</si>
  <si>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</si>
  <si>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</si>
  <si>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Equine Leptin_NovusBiological_09_10_26.skax started</t>
  </si>
  <si>
    <t>2026-09-10T16:30:36-05:00</t>
  </si>
  <si>
    <t>Temperature</t>
  </si>
  <si>
    <t>37.0°C</t>
  </si>
  <si>
    <t>Step Shake 1 started</t>
  </si>
  <si>
    <t>2026-09-10T16:30:41-05:00</t>
  </si>
  <si>
    <t>2026-09-10T16:30:59-05:00</t>
  </si>
  <si>
    <t>Step Shake 1 ended</t>
  </si>
  <si>
    <t>Step Absorbance 1 started</t>
  </si>
  <si>
    <t>2026-09-10T16:31:21-05:00</t>
  </si>
  <si>
    <t>Step Absorbance 1 ended</t>
  </si>
  <si>
    <t>2026-09-10T16:31:22-05:00</t>
  </si>
  <si>
    <t>2026-09-10T16:31:27-05:00</t>
  </si>
  <si>
    <t>Session Equine Leptin_NovusBiological_09_10_26.skax ended</t>
  </si>
  <si>
    <t>Plate template</t>
  </si>
  <si>
    <t>ANSI/SBS Standard, 96-well</t>
  </si>
  <si>
    <t>Group 1</t>
  </si>
  <si>
    <t>0.625 ng/mL</t>
  </si>
  <si>
    <t>1:1</t>
  </si>
  <si>
    <t>1.25 ng/mL</t>
  </si>
  <si>
    <t>2.5 ng/mL</t>
  </si>
  <si>
    <t>5 ng/mL</t>
  </si>
  <si>
    <t>10 ng/mL</t>
  </si>
  <si>
    <t>20 ng/mL</t>
  </si>
  <si>
    <t>40 ng/mL</t>
  </si>
  <si>
    <t>Std1 40.0</t>
  </si>
  <si>
    <t>Std2 20.0</t>
  </si>
  <si>
    <t>Std3 10.0</t>
  </si>
  <si>
    <t>Std4 5.0</t>
  </si>
  <si>
    <t>Std5 2.5</t>
  </si>
  <si>
    <t>Std6 1.25</t>
  </si>
  <si>
    <t>Std7 0.625</t>
  </si>
  <si>
    <t>Blank</t>
  </si>
  <si>
    <t>Serum 2X</t>
  </si>
  <si>
    <t>Serum 4X</t>
  </si>
  <si>
    <t>Serum 16X</t>
  </si>
  <si>
    <t>Serum 64X</t>
  </si>
  <si>
    <t>EtOH 2X</t>
  </si>
  <si>
    <t>EtOH 4X</t>
  </si>
  <si>
    <t>EtOH 16X</t>
  </si>
  <si>
    <t>EtOH 64X</t>
  </si>
  <si>
    <t>Serum 1X</t>
  </si>
  <si>
    <t>Sp1 3.4 (Serum 1X)</t>
  </si>
  <si>
    <t>Sp5 3.4 (EtOH 1X)</t>
  </si>
  <si>
    <t>Sp2 3.4 (Serum 4X)</t>
  </si>
  <si>
    <t>Sp4 3.4 (Serum 64X)</t>
  </si>
  <si>
    <t>Sp3 3.4 (Serum 16X)</t>
  </si>
  <si>
    <t>Sp6 3.4 (EtOH 4X)</t>
  </si>
  <si>
    <t>Sp7 3.4 (EtOH 16X)</t>
  </si>
  <si>
    <t>Sp8 3.4 (EtOH 64X)</t>
  </si>
  <si>
    <t>EtOH 1X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</si>
  <si>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</si>
  <si>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</si>
  <si>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</si>
  <si>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</si>
  <si>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</si>
  <si>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</si>
  <si>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</si>
  <si>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Serum treated with EtOH</t>
  </si>
  <si>
    <t>&lt;min</t>
  </si>
  <si>
    <t>Spike 1 (Serum 1X)</t>
  </si>
  <si>
    <t>Spike 2 (Serum 4X)</t>
  </si>
  <si>
    <t>Spike 3 (Serum 16X)</t>
  </si>
  <si>
    <t>Spike 4 (Serum 64X</t>
  </si>
  <si>
    <t>Spikes Preparation</t>
  </si>
  <si>
    <t>Sample vol (uL)</t>
  </si>
  <si>
    <t>Std vol (uL)</t>
  </si>
  <si>
    <t>Std Conc (ng/mL)</t>
  </si>
  <si>
    <t>Spike Conc (ng/mL)</t>
  </si>
  <si>
    <t>EtOH = ethanol extracted serum</t>
  </si>
  <si>
    <t>Sp = spike</t>
  </si>
  <si>
    <t>Spike 5 (EtOH 1X)</t>
  </si>
  <si>
    <t>Spike 6 (EtOH 4X)</t>
  </si>
  <si>
    <t>Spike 7 (EtOH 16X)</t>
  </si>
  <si>
    <t>Spike 8 (EtOH 64X)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</si>
</sst>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00"/>
    <numFmt numFmtId="167" formatCode="0.00000"/>
    <numFmt numFmtId="168" formatCode="0.00000000"/>
    <numFmt numFmtId="169" formatCode="0.0000000"/>
  </numFmts>
  <fonts count="2" x14ac:knownFonts="1">
    <font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right"/>
    </xf>
    <xf numFmtId="165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0" xfId="0" applyAlignment="1">
      <alignment horizontal="left"/>
    </xf>
    <xf numFmtId="164" fontId="0" fillId="0" borderId="5" xfId="0" applyNumberFormat="1" applyBorder="1" applyAlignment="1">
      <alignment horizontal="left"/>
    </xf>
    <xf numFmtId="165" fontId="1" fillId="0" borderId="5" xfId="0" applyNumberFormat="1" applyFont="1" applyBorder="1" applyAlignment="1">
      <alignment horizontal="right"/>
    </xf>
    <xf numFmtId="0" fontId="1" fillId="0" borderId="5" xfId="0" applyFont="1" applyBorder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5" borderId="6" xfId="0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1114425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104775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1"/>
  <sheetViews>
    <sheetView workbookViewId="0">
      <selection activeCell="F30" sqref="F30:G31"/>
    </sheetView>
  </sheetViews>
  <sheetFormatPr defaultColWidth="9.140625" defaultRowHeight="15" customHeight="1" x14ac:dyDescent="0.2"/>
  <cols>
    <col min="1" max="1" width="7.5703125" customWidth="1"/>
    <col min="2" max="3" width="17.5703125" customWidth="1"/>
    <col min="4" max="5" width="12" customWidth="1"/>
    <col min="6" max="7" width="19.1406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0" t="s">
        <v>7</v>
      </c>
      <c r="B10" s="21">
        <v>1</v>
      </c>
      <c r="C10" s="21">
        <v>2</v>
      </c>
      <c r="D10" s="21">
        <v>3</v>
      </c>
      <c r="E10" s="21">
        <v>4</v>
      </c>
      <c r="F10" s="21">
        <v>5</v>
      </c>
      <c r="G10" s="21">
        <v>6</v>
      </c>
      <c r="H10" s="1"/>
      <c r="I10" s="1"/>
      <c r="J10" s="1"/>
      <c r="K10" s="1"/>
      <c r="L10" s="1"/>
      <c r="M10" s="1"/>
    </row>
    <row r="11" spans="1:13" ht="15" customHeight="1" x14ac:dyDescent="0.2">
      <c r="A11" s="20" t="s">
        <v>8</v>
      </c>
      <c r="B11" s="25">
        <v>0.23980000000000001</v>
      </c>
      <c r="C11" s="25">
        <v>0.2228</v>
      </c>
      <c r="D11" s="25">
        <v>0.10780000000000001</v>
      </c>
      <c r="E11" s="25">
        <v>0.1278</v>
      </c>
      <c r="F11" s="25">
        <v>0.1678</v>
      </c>
      <c r="G11" s="25">
        <v>0.15210000000000001</v>
      </c>
    </row>
    <row r="12" spans="1:13" ht="15" customHeight="1" x14ac:dyDescent="0.2">
      <c r="A12" s="20" t="s">
        <v>9</v>
      </c>
      <c r="B12" s="25">
        <v>0.312</v>
      </c>
      <c r="C12" s="25">
        <v>0.29260000000000003</v>
      </c>
      <c r="D12" s="25">
        <v>0.112</v>
      </c>
      <c r="E12" s="25">
        <v>0.11219999999999999</v>
      </c>
      <c r="F12" s="25">
        <v>0.19059999999999999</v>
      </c>
      <c r="G12" s="25">
        <v>0.1842</v>
      </c>
    </row>
    <row r="13" spans="1:13" ht="15" customHeight="1" x14ac:dyDescent="0.2">
      <c r="A13" s="20" t="s">
        <v>10</v>
      </c>
      <c r="B13" s="25">
        <v>0.43120000000000003</v>
      </c>
      <c r="C13" s="25">
        <v>0.39379999999999998</v>
      </c>
      <c r="D13" s="25">
        <v>0.12039999999999999</v>
      </c>
      <c r="E13" s="25">
        <v>0.1104</v>
      </c>
      <c r="F13" s="25">
        <v>0.30059999999999998</v>
      </c>
      <c r="G13" s="25">
        <v>0.2732</v>
      </c>
    </row>
    <row r="14" spans="1:13" ht="15" customHeight="1" x14ac:dyDescent="0.2">
      <c r="A14" s="20" t="s">
        <v>11</v>
      </c>
      <c r="B14" s="25">
        <v>0.65439999999999998</v>
      </c>
      <c r="C14" s="25">
        <v>0.58889999999999998</v>
      </c>
      <c r="D14" s="25">
        <v>0.1759</v>
      </c>
      <c r="E14" s="25">
        <v>0.17050000000000001</v>
      </c>
      <c r="F14" s="25">
        <v>0.39779999999999999</v>
      </c>
      <c r="G14" s="25">
        <v>0.34860000000000002</v>
      </c>
    </row>
    <row r="15" spans="1:13" ht="15" customHeight="1" x14ac:dyDescent="0.2">
      <c r="A15" s="20" t="s">
        <v>12</v>
      </c>
      <c r="B15" s="25">
        <v>1.0720000000000001</v>
      </c>
      <c r="C15" s="25">
        <v>0.9869</v>
      </c>
      <c r="D15" s="25">
        <v>0.1447</v>
      </c>
      <c r="E15" s="25">
        <v>0.1406</v>
      </c>
      <c r="F15" s="25">
        <v>0.1426</v>
      </c>
      <c r="G15" s="25">
        <v>0.14180000000000001</v>
      </c>
    </row>
    <row r="16" spans="1:13" ht="15" customHeight="1" x14ac:dyDescent="0.2">
      <c r="A16" s="20" t="s">
        <v>13</v>
      </c>
      <c r="B16" s="25">
        <v>1.6961999999999999</v>
      </c>
      <c r="C16" s="25">
        <v>1.5461</v>
      </c>
      <c r="D16" s="25">
        <v>0.13139999999999999</v>
      </c>
      <c r="E16" s="25">
        <v>0.13589999999999999</v>
      </c>
      <c r="F16" s="25">
        <v>0.2072</v>
      </c>
      <c r="G16" s="25">
        <v>0.18840000000000001</v>
      </c>
    </row>
    <row r="17" spans="1:13" ht="15" customHeight="1" x14ac:dyDescent="0.2">
      <c r="A17" s="20" t="s">
        <v>14</v>
      </c>
      <c r="B17" s="25">
        <v>2.6556000000000002</v>
      </c>
      <c r="C17" s="25">
        <v>0.2177</v>
      </c>
      <c r="D17" s="25">
        <v>0.13639999999999999</v>
      </c>
      <c r="E17" s="25">
        <v>0.15559999999999999</v>
      </c>
      <c r="F17" s="25">
        <v>0.24349999999999999</v>
      </c>
      <c r="G17" s="25">
        <v>0.2175</v>
      </c>
    </row>
    <row r="18" spans="1:13" ht="15" customHeight="1" x14ac:dyDescent="0.2">
      <c r="A18" s="20" t="s">
        <v>15</v>
      </c>
      <c r="B18" s="25">
        <v>0.17380000000000001</v>
      </c>
      <c r="C18" s="25">
        <v>0.15620000000000001</v>
      </c>
      <c r="D18" s="25">
        <v>0.15820000000000001</v>
      </c>
      <c r="E18" s="25">
        <v>0.1686</v>
      </c>
      <c r="F18" s="25">
        <v>0.27289999999999998</v>
      </c>
      <c r="G18" s="25">
        <v>0.2399</v>
      </c>
    </row>
    <row r="20" spans="1:13" ht="15" customHeight="1" x14ac:dyDescent="0.2">
      <c r="A20" s="20" t="s">
        <v>16</v>
      </c>
      <c r="B20" s="21">
        <v>1</v>
      </c>
      <c r="C20" s="21">
        <v>2</v>
      </c>
      <c r="D20" s="21">
        <v>3</v>
      </c>
      <c r="E20" s="21">
        <v>4</v>
      </c>
      <c r="F20" s="21">
        <v>5</v>
      </c>
      <c r="G20" s="21">
        <v>6</v>
      </c>
      <c r="H20" s="1"/>
      <c r="I20" s="1"/>
      <c r="J20" s="1"/>
      <c r="K20" s="1"/>
      <c r="L20" s="1"/>
      <c r="M20" s="1"/>
    </row>
    <row r="21" spans="1:13" ht="15" customHeight="1" x14ac:dyDescent="0.2">
      <c r="A21" s="20" t="s">
        <v>8</v>
      </c>
      <c r="B21" s="20" t="s">
        <v>222</v>
      </c>
      <c r="C21" s="20" t="s">
        <v>222</v>
      </c>
      <c r="D21" s="20" t="s">
        <v>224</v>
      </c>
      <c r="E21" s="20" t="s">
        <v>224</v>
      </c>
      <c r="F21" s="20" t="s">
        <v>232</v>
      </c>
      <c r="G21" s="20" t="s">
        <v>232</v>
      </c>
    </row>
    <row r="22" spans="1:13" ht="15" customHeight="1" x14ac:dyDescent="0.2">
      <c r="A22" s="20" t="s">
        <v>9</v>
      </c>
      <c r="B22" s="20" t="s">
        <v>221</v>
      </c>
      <c r="C22" s="20" t="s">
        <v>221</v>
      </c>
      <c r="D22" s="20" t="s">
        <v>225</v>
      </c>
      <c r="E22" s="20" t="s">
        <v>225</v>
      </c>
      <c r="F22" s="19" t="s">
        <v>235</v>
      </c>
      <c r="G22" s="19" t="s">
        <v>235</v>
      </c>
    </row>
    <row r="23" spans="1:13" ht="15" customHeight="1" x14ac:dyDescent="0.2">
      <c r="A23" s="20" t="s">
        <v>10</v>
      </c>
      <c r="B23" s="20" t="s">
        <v>220</v>
      </c>
      <c r="C23" s="20" t="s">
        <v>220</v>
      </c>
      <c r="D23" s="20" t="s">
        <v>226</v>
      </c>
      <c r="E23" s="20" t="s">
        <v>226</v>
      </c>
      <c r="F23" s="19" t="s">
        <v>237</v>
      </c>
      <c r="G23" s="19" t="s">
        <v>237</v>
      </c>
    </row>
    <row r="24" spans="1:13" ht="15" customHeight="1" x14ac:dyDescent="0.2">
      <c r="A24" s="20" t="s">
        <v>11</v>
      </c>
      <c r="B24" s="20" t="s">
        <v>219</v>
      </c>
      <c r="C24" s="20" t="s">
        <v>219</v>
      </c>
      <c r="D24" s="20" t="s">
        <v>227</v>
      </c>
      <c r="E24" s="20" t="s">
        <v>227</v>
      </c>
      <c r="F24" s="19" t="s">
        <v>236</v>
      </c>
      <c r="G24" s="19" t="s">
        <v>236</v>
      </c>
    </row>
    <row r="25" spans="1:13" ht="15" customHeight="1" x14ac:dyDescent="0.2">
      <c r="A25" s="20" t="s">
        <v>12</v>
      </c>
      <c r="B25" s="20" t="s">
        <v>218</v>
      </c>
      <c r="C25" s="20" t="s">
        <v>218</v>
      </c>
      <c r="D25" s="20" t="s">
        <v>228</v>
      </c>
      <c r="E25" s="20" t="s">
        <v>228</v>
      </c>
      <c r="F25" s="20" t="s">
        <v>241</v>
      </c>
      <c r="G25" s="20" t="s">
        <v>241</v>
      </c>
    </row>
    <row r="26" spans="1:13" ht="15" customHeight="1" x14ac:dyDescent="0.2">
      <c r="A26" s="20" t="s">
        <v>13</v>
      </c>
      <c r="B26" s="20" t="s">
        <v>217</v>
      </c>
      <c r="C26" s="20" t="s">
        <v>217</v>
      </c>
      <c r="D26" s="20" t="s">
        <v>229</v>
      </c>
      <c r="E26" s="20" t="s">
        <v>229</v>
      </c>
      <c r="F26" s="19" t="s">
        <v>238</v>
      </c>
      <c r="G26" s="19" t="s">
        <v>238</v>
      </c>
    </row>
    <row r="27" spans="1:13" ht="15" customHeight="1" x14ac:dyDescent="0.2">
      <c r="A27" s="20" t="s">
        <v>14</v>
      </c>
      <c r="B27" s="20" t="s">
        <v>216</v>
      </c>
      <c r="C27" s="19" t="s">
        <v>233</v>
      </c>
      <c r="D27" s="20" t="s">
        <v>230</v>
      </c>
      <c r="E27" s="20" t="s">
        <v>230</v>
      </c>
      <c r="F27" s="19" t="s">
        <v>239</v>
      </c>
      <c r="G27" s="19" t="s">
        <v>239</v>
      </c>
    </row>
    <row r="28" spans="1:13" ht="15" customHeight="1" x14ac:dyDescent="0.2">
      <c r="A28" s="20" t="s">
        <v>15</v>
      </c>
      <c r="B28" s="20" t="s">
        <v>223</v>
      </c>
      <c r="C28" s="19" t="s">
        <v>234</v>
      </c>
      <c r="D28" s="20" t="s">
        <v>231</v>
      </c>
      <c r="E28" s="20" t="s">
        <v>231</v>
      </c>
      <c r="F28" s="19" t="s">
        <v>240</v>
      </c>
      <c r="G28" s="19" t="s">
        <v>240</v>
      </c>
    </row>
    <row r="30" spans="1:13" ht="15" customHeight="1" x14ac:dyDescent="0.2">
      <c r="A30" t="s">
        <v>59</v>
      </c>
      <c r="F30" s="34" t="s">
        <v>260</v>
      </c>
      <c r="G30" s="34"/>
    </row>
    <row r="31" spans="1:13" ht="15" customHeight="1" x14ac:dyDescent="0.2">
      <c r="F31" s="35" t="s">
        <v>261</v>
      </c>
      <c r="G31" s="3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4"/>
  <sheetViews>
    <sheetView topLeftCell="A71" workbookViewId="0">
      <selection activeCell="E109" sqref="E109"/>
    </sheetView>
  </sheetViews>
  <sheetFormatPr defaultColWidth="9.140625" defaultRowHeight="15" customHeight="1" x14ac:dyDescent="0.2"/>
  <cols>
    <col min="1" max="1" width="12.7109375" customWidth="1"/>
    <col min="2" max="2" width="10.42578125" customWidth="1"/>
    <col min="3" max="3" width="16.5703125" customWidth="1"/>
    <col min="4" max="4" width="14.42578125" customWidth="1"/>
    <col min="5" max="5" width="12.42578125" customWidth="1"/>
    <col min="6" max="7" width="19.57031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60</v>
      </c>
    </row>
    <row r="7" spans="1:1" ht="15" customHeight="1" x14ac:dyDescent="0.2">
      <c r="A7" t="s">
        <v>61</v>
      </c>
    </row>
    <row r="8" spans="1:1" ht="15" customHeight="1" x14ac:dyDescent="0.2">
      <c r="A8" t="s">
        <v>62</v>
      </c>
    </row>
    <row r="9" spans="1:1" ht="15" customHeight="1" x14ac:dyDescent="0.2">
      <c r="A9" t="s">
        <v>63</v>
      </c>
    </row>
    <row r="10" spans="1:1" ht="15" customHeight="1" x14ac:dyDescent="0.2">
      <c r="A10" t="s">
        <v>5</v>
      </c>
    </row>
    <row r="11" spans="1:1" ht="15" customHeight="1" x14ac:dyDescent="0.2">
      <c r="A11" t="s">
        <v>64</v>
      </c>
    </row>
    <row r="12" spans="1:1" ht="15" customHeight="1" x14ac:dyDescent="0.2">
      <c r="A12" t="s">
        <v>65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66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2">
        <v>0.138351</v>
      </c>
    </row>
    <row r="41" spans="1:7" ht="12.75" x14ac:dyDescent="0.2">
      <c r="A41" t="s">
        <v>70</v>
      </c>
      <c r="B41" s="2">
        <v>0.83169300000000002</v>
      </c>
    </row>
    <row r="42" spans="1:7" ht="12.75" x14ac:dyDescent="0.2">
      <c r="A42" t="s">
        <v>71</v>
      </c>
      <c r="B42" s="3">
        <v>421.18099999999998</v>
      </c>
    </row>
    <row r="43" spans="1:7" ht="12.75" x14ac:dyDescent="0.2">
      <c r="A43" t="s">
        <v>72</v>
      </c>
      <c r="B43" s="4">
        <v>20.475100000000001</v>
      </c>
    </row>
    <row r="44" spans="1:7" ht="12.75" x14ac:dyDescent="0.2"/>
    <row r="45" spans="1:7" ht="12.75" x14ac:dyDescent="0.2">
      <c r="A45" t="s">
        <v>73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47</v>
      </c>
      <c r="C48" s="4">
        <v>40</v>
      </c>
      <c r="D48" s="5">
        <v>2.6556199999999999</v>
      </c>
      <c r="E48" t="s">
        <v>81</v>
      </c>
      <c r="F48" s="5">
        <v>2.6537600000000001</v>
      </c>
      <c r="G48" s="6">
        <v>1.8610300000000001E-3</v>
      </c>
    </row>
    <row r="49" spans="1:7" ht="12.75" x14ac:dyDescent="0.2">
      <c r="A49" t="s">
        <v>82</v>
      </c>
      <c r="B49" t="s">
        <v>47</v>
      </c>
      <c r="C49" s="4">
        <v>40</v>
      </c>
      <c r="D49" s="5">
        <v>2.6556199999999999</v>
      </c>
      <c r="F49" s="5">
        <v>2.6537600000000001</v>
      </c>
      <c r="G49" s="6">
        <v>1.8610300000000001E-3</v>
      </c>
    </row>
    <row r="50" spans="1:7" ht="12.75" x14ac:dyDescent="0.2">
      <c r="A50" t="s">
        <v>80</v>
      </c>
      <c r="B50" t="s">
        <v>42</v>
      </c>
      <c r="C50" s="4">
        <v>20</v>
      </c>
      <c r="D50" s="5">
        <v>1.6211500000000001</v>
      </c>
      <c r="E50" s="5">
        <v>6.5491999999999999</v>
      </c>
      <c r="F50" s="5">
        <v>1.63266</v>
      </c>
      <c r="G50" s="7">
        <v>-1.1515299999999999E-2</v>
      </c>
    </row>
    <row r="51" spans="1:7" ht="12.75" x14ac:dyDescent="0.2">
      <c r="A51" t="s">
        <v>83</v>
      </c>
      <c r="B51" t="s">
        <v>42</v>
      </c>
      <c r="C51" s="4">
        <v>20</v>
      </c>
      <c r="D51" s="5">
        <v>1.6962200000000001</v>
      </c>
      <c r="F51" s="5">
        <v>1.63266</v>
      </c>
      <c r="G51" s="7">
        <v>6.3559699999999997E-2</v>
      </c>
    </row>
    <row r="52" spans="1:7" ht="12.75" x14ac:dyDescent="0.2">
      <c r="A52" t="s">
        <v>84</v>
      </c>
      <c r="B52" t="s">
        <v>42</v>
      </c>
      <c r="C52" s="4">
        <v>20</v>
      </c>
      <c r="D52" s="5">
        <v>1.5460700000000001</v>
      </c>
      <c r="F52" s="5">
        <v>1.63266</v>
      </c>
      <c r="G52" s="7">
        <v>-8.6590299999999995E-2</v>
      </c>
    </row>
    <row r="53" spans="1:7" ht="12.75" x14ac:dyDescent="0.2">
      <c r="A53" t="s">
        <v>80</v>
      </c>
      <c r="B53" t="s">
        <v>37</v>
      </c>
      <c r="C53" s="4">
        <v>10</v>
      </c>
      <c r="D53" s="5">
        <v>1.02946</v>
      </c>
      <c r="E53" s="5">
        <v>5.8415100000000004</v>
      </c>
      <c r="F53" s="5">
        <v>1.00589</v>
      </c>
      <c r="G53" s="7">
        <v>2.3571499999999999E-2</v>
      </c>
    </row>
    <row r="54" spans="1:7" ht="12.75" x14ac:dyDescent="0.2">
      <c r="A54" t="s">
        <v>85</v>
      </c>
      <c r="B54" t="s">
        <v>37</v>
      </c>
      <c r="C54" s="4">
        <v>10</v>
      </c>
      <c r="D54" s="5">
        <v>1.0719799999999999</v>
      </c>
      <c r="F54" s="5">
        <v>1.00589</v>
      </c>
      <c r="G54" s="7">
        <v>6.6094E-2</v>
      </c>
    </row>
    <row r="55" spans="1:7" ht="12.75" x14ac:dyDescent="0.2">
      <c r="A55" t="s">
        <v>86</v>
      </c>
      <c r="B55" t="s">
        <v>37</v>
      </c>
      <c r="C55" s="4">
        <v>10</v>
      </c>
      <c r="D55" s="2">
        <v>0.98693500000000001</v>
      </c>
      <c r="F55" s="5">
        <v>1.00589</v>
      </c>
      <c r="G55" s="7">
        <v>-1.8950999999999999E-2</v>
      </c>
    </row>
    <row r="56" spans="1:7" ht="12.75" x14ac:dyDescent="0.2">
      <c r="A56" t="s">
        <v>80</v>
      </c>
      <c r="B56" t="s">
        <v>32</v>
      </c>
      <c r="C56" s="5">
        <v>5</v>
      </c>
      <c r="D56" s="2">
        <v>0.62167600000000001</v>
      </c>
      <c r="E56" s="5">
        <v>7.4537399999999998</v>
      </c>
      <c r="F56" s="2">
        <v>0.63507599999999997</v>
      </c>
      <c r="G56" s="7">
        <v>-1.3399899999999999E-2</v>
      </c>
    </row>
    <row r="57" spans="1:7" ht="12.75" x14ac:dyDescent="0.2">
      <c r="A57" t="s">
        <v>87</v>
      </c>
      <c r="B57" t="s">
        <v>32</v>
      </c>
      <c r="C57" s="5">
        <v>5</v>
      </c>
      <c r="D57" s="2">
        <v>0.65444199999999997</v>
      </c>
      <c r="F57" s="2">
        <v>0.63507599999999997</v>
      </c>
      <c r="G57" s="7">
        <v>1.9366100000000001E-2</v>
      </c>
    </row>
    <row r="58" spans="1:7" ht="12.75" x14ac:dyDescent="0.2">
      <c r="A58" t="s">
        <v>88</v>
      </c>
      <c r="B58" t="s">
        <v>32</v>
      </c>
      <c r="C58" s="5">
        <v>5</v>
      </c>
      <c r="D58" s="2">
        <v>0.58891000000000004</v>
      </c>
      <c r="F58" s="2">
        <v>0.63507599999999997</v>
      </c>
      <c r="G58" s="7">
        <v>-4.6165900000000003E-2</v>
      </c>
    </row>
    <row r="59" spans="1:7" ht="12.75" x14ac:dyDescent="0.2">
      <c r="A59" t="s">
        <v>80</v>
      </c>
      <c r="B59" t="s">
        <v>27</v>
      </c>
      <c r="C59" s="5">
        <v>2.5</v>
      </c>
      <c r="D59" s="2">
        <v>0.41250500000000001</v>
      </c>
      <c r="E59" s="5">
        <v>6.4216499999999996</v>
      </c>
      <c r="F59" s="2">
        <v>0.420464</v>
      </c>
      <c r="G59" s="6">
        <v>-7.9592900000000008E-3</v>
      </c>
    </row>
    <row r="60" spans="1:7" ht="12.75" x14ac:dyDescent="0.2">
      <c r="A60" t="s">
        <v>89</v>
      </c>
      <c r="B60" t="s">
        <v>27</v>
      </c>
      <c r="C60" s="5">
        <v>2.5</v>
      </c>
      <c r="D60" s="2">
        <v>0.43123600000000001</v>
      </c>
      <c r="F60" s="2">
        <v>0.420464</v>
      </c>
      <c r="G60" s="7">
        <v>1.07717E-2</v>
      </c>
    </row>
    <row r="61" spans="1:7" ht="12.75" x14ac:dyDescent="0.2">
      <c r="A61" t="s">
        <v>90</v>
      </c>
      <c r="B61" t="s">
        <v>27</v>
      </c>
      <c r="C61" s="5">
        <v>2.5</v>
      </c>
      <c r="D61" s="2">
        <v>0.39377400000000001</v>
      </c>
      <c r="F61" s="2">
        <v>0.420464</v>
      </c>
      <c r="G61" s="7">
        <v>-2.66903E-2</v>
      </c>
    </row>
    <row r="62" spans="1:7" ht="12.75" x14ac:dyDescent="0.2">
      <c r="A62" t="s">
        <v>80</v>
      </c>
      <c r="B62" t="s">
        <v>22</v>
      </c>
      <c r="C62" s="5">
        <v>1.25</v>
      </c>
      <c r="D62" s="2">
        <v>0.30227900000000002</v>
      </c>
      <c r="E62" s="5">
        <v>4.5418900000000004</v>
      </c>
      <c r="F62" s="2">
        <v>0.29783100000000001</v>
      </c>
      <c r="G62" s="6">
        <v>4.4481099999999999E-3</v>
      </c>
    </row>
    <row r="63" spans="1:7" ht="12.75" x14ac:dyDescent="0.2">
      <c r="A63" t="s">
        <v>91</v>
      </c>
      <c r="B63" t="s">
        <v>22</v>
      </c>
      <c r="C63" s="5">
        <v>1.25</v>
      </c>
      <c r="D63" s="2">
        <v>0.31198700000000001</v>
      </c>
      <c r="F63" s="2">
        <v>0.29783100000000001</v>
      </c>
      <c r="G63" s="7">
        <v>1.41561E-2</v>
      </c>
    </row>
    <row r="64" spans="1:7" ht="12.75" x14ac:dyDescent="0.2">
      <c r="A64" t="s">
        <v>92</v>
      </c>
      <c r="B64" t="s">
        <v>22</v>
      </c>
      <c r="C64" s="5">
        <v>1.25</v>
      </c>
      <c r="D64" s="2">
        <v>0.29257100000000003</v>
      </c>
      <c r="F64" s="2">
        <v>0.29783100000000001</v>
      </c>
      <c r="G64" s="6">
        <v>-5.2598899999999997E-3</v>
      </c>
    </row>
    <row r="65" spans="1:13" ht="12.75" x14ac:dyDescent="0.2">
      <c r="A65" t="s">
        <v>80</v>
      </c>
      <c r="B65" t="s">
        <v>17</v>
      </c>
      <c r="C65" s="2">
        <v>0.625</v>
      </c>
      <c r="D65" s="2">
        <v>0.23126099999999999</v>
      </c>
      <c r="E65" s="5">
        <v>5.2031499999999999</v>
      </c>
      <c r="F65" s="2">
        <v>0.228267</v>
      </c>
      <c r="G65" s="6">
        <v>2.9939099999999998E-3</v>
      </c>
    </row>
    <row r="66" spans="1:13" ht="12.75" x14ac:dyDescent="0.2">
      <c r="A66" t="s">
        <v>93</v>
      </c>
      <c r="B66" t="s">
        <v>17</v>
      </c>
      <c r="C66" s="2">
        <v>0.625</v>
      </c>
      <c r="D66" s="2">
        <v>0.23976900000000001</v>
      </c>
      <c r="F66" s="2">
        <v>0.228267</v>
      </c>
      <c r="G66" s="7">
        <v>1.1502399999999999E-2</v>
      </c>
    </row>
    <row r="67" spans="1:13" ht="12.75" x14ac:dyDescent="0.2">
      <c r="A67" t="s">
        <v>94</v>
      </c>
      <c r="B67" t="s">
        <v>17</v>
      </c>
      <c r="C67" s="2">
        <v>0.625</v>
      </c>
      <c r="D67" s="2">
        <v>0.22275200000000001</v>
      </c>
      <c r="F67" s="2">
        <v>0.228267</v>
      </c>
      <c r="G67" s="6">
        <v>-5.5145899999999998E-3</v>
      </c>
    </row>
    <row r="68" spans="1:13" ht="12.75" x14ac:dyDescent="0.2"/>
    <row r="69" spans="1:13" ht="12.75" x14ac:dyDescent="0.2"/>
    <row r="70" spans="1:13" ht="12.75" x14ac:dyDescent="0.2">
      <c r="A70" t="s">
        <v>6</v>
      </c>
    </row>
    <row r="71" spans="1:13" ht="12.75" x14ac:dyDescent="0.2">
      <c r="A71" t="s">
        <v>3</v>
      </c>
    </row>
    <row r="72" spans="1:13" ht="12.75" x14ac:dyDescent="0.2">
      <c r="A72" s="20" t="s">
        <v>95</v>
      </c>
      <c r="B72" s="21">
        <v>1</v>
      </c>
      <c r="C72" s="21">
        <v>2</v>
      </c>
      <c r="D72" s="21">
        <v>3</v>
      </c>
      <c r="E72" s="21">
        <v>4</v>
      </c>
      <c r="F72" s="21">
        <v>5</v>
      </c>
      <c r="G72" s="21">
        <v>6</v>
      </c>
      <c r="H72" s="1"/>
      <c r="I72" s="1"/>
      <c r="J72" s="1"/>
      <c r="K72" s="1"/>
      <c r="L72" s="1"/>
      <c r="M72" s="1"/>
    </row>
    <row r="73" spans="1:13" ht="12.75" x14ac:dyDescent="0.2">
      <c r="A73" s="20" t="s">
        <v>8</v>
      </c>
      <c r="B73" s="22">
        <v>0.23976900000000001</v>
      </c>
      <c r="C73" s="22">
        <v>0.22275200000000001</v>
      </c>
      <c r="D73" s="22">
        <v>0.107765</v>
      </c>
      <c r="E73" s="22">
        <v>0.12778500000000001</v>
      </c>
      <c r="F73" s="22">
        <v>0.16775200000000001</v>
      </c>
      <c r="G73" s="22">
        <v>0.15207000000000001</v>
      </c>
    </row>
    <row r="74" spans="1:13" ht="12.75" x14ac:dyDescent="0.2">
      <c r="A74" s="20" t="s">
        <v>9</v>
      </c>
      <c r="B74" s="22">
        <v>0.31198700000000001</v>
      </c>
      <c r="C74" s="22">
        <v>0.29257100000000003</v>
      </c>
      <c r="D74" s="22">
        <v>0.11201</v>
      </c>
      <c r="E74" s="22">
        <v>0.112162</v>
      </c>
      <c r="F74" s="22">
        <v>0.190634</v>
      </c>
      <c r="G74" s="22">
        <v>0.18423700000000001</v>
      </c>
    </row>
    <row r="75" spans="1:13" ht="12.75" x14ac:dyDescent="0.2">
      <c r="A75" s="20" t="s">
        <v>10</v>
      </c>
      <c r="B75" s="22">
        <v>0.43123600000000001</v>
      </c>
      <c r="C75" s="22">
        <v>0.39377400000000001</v>
      </c>
      <c r="D75" s="22">
        <v>0.12042899999999999</v>
      </c>
      <c r="E75" s="22">
        <v>0.110411</v>
      </c>
      <c r="F75" s="22">
        <v>0.30064600000000002</v>
      </c>
      <c r="G75" s="22">
        <v>0.27315099999999998</v>
      </c>
    </row>
    <row r="76" spans="1:13" ht="12.75" x14ac:dyDescent="0.2">
      <c r="A76" s="20" t="s">
        <v>11</v>
      </c>
      <c r="B76" s="22">
        <v>0.65444199999999997</v>
      </c>
      <c r="C76" s="22">
        <v>0.58891000000000004</v>
      </c>
      <c r="D76" s="22">
        <v>0.17594899999999999</v>
      </c>
      <c r="E76" s="22">
        <v>0.17047999999999999</v>
      </c>
      <c r="F76" s="22">
        <v>0.39776499999999998</v>
      </c>
      <c r="G76" s="22">
        <v>0.34856999999999999</v>
      </c>
    </row>
    <row r="77" spans="1:13" ht="12.75" x14ac:dyDescent="0.2">
      <c r="A77" s="20" t="s">
        <v>12</v>
      </c>
      <c r="B77" s="24">
        <v>1.0719799999999999</v>
      </c>
      <c r="C77" s="22">
        <v>0.98693500000000001</v>
      </c>
      <c r="D77" s="22">
        <v>0.144728</v>
      </c>
      <c r="E77" s="22">
        <v>0.14055500000000001</v>
      </c>
      <c r="F77" s="22">
        <v>0.14263500000000001</v>
      </c>
      <c r="G77" s="22">
        <v>0.14183399999999999</v>
      </c>
    </row>
    <row r="78" spans="1:13" ht="12.75" x14ac:dyDescent="0.2">
      <c r="A78" s="20" t="s">
        <v>13</v>
      </c>
      <c r="B78" s="24">
        <v>1.6962200000000001</v>
      </c>
      <c r="C78" s="24">
        <v>1.5460700000000001</v>
      </c>
      <c r="D78" s="22">
        <v>0.131436</v>
      </c>
      <c r="E78" s="22">
        <v>0.135931</v>
      </c>
      <c r="F78" s="22">
        <v>0.20715900000000001</v>
      </c>
      <c r="G78" s="22">
        <v>0.18837799999999999</v>
      </c>
    </row>
    <row r="79" spans="1:13" ht="12.75" x14ac:dyDescent="0.2">
      <c r="A79" s="20" t="s">
        <v>14</v>
      </c>
      <c r="B79" s="24">
        <v>2.6556199999999999</v>
      </c>
      <c r="C79" s="22">
        <v>0.21773700000000001</v>
      </c>
      <c r="D79" s="22">
        <v>0.136382</v>
      </c>
      <c r="E79" s="22">
        <v>0.15557299999999999</v>
      </c>
      <c r="F79" s="22">
        <v>0.243502</v>
      </c>
      <c r="G79" s="22">
        <v>0.217501</v>
      </c>
    </row>
    <row r="80" spans="1:13" ht="12.75" x14ac:dyDescent="0.2">
      <c r="A80" s="20" t="s">
        <v>15</v>
      </c>
      <c r="B80" s="20"/>
      <c r="C80" s="22">
        <v>0.15615899999999999</v>
      </c>
      <c r="D80" s="22">
        <v>0.15815000000000001</v>
      </c>
      <c r="E80" s="22">
        <v>0.168577</v>
      </c>
      <c r="F80" s="22">
        <v>0.27293600000000001</v>
      </c>
      <c r="G80" s="22">
        <v>0.23985600000000001</v>
      </c>
    </row>
    <row r="81" spans="1:13" ht="12.75" x14ac:dyDescent="0.2"/>
    <row r="82" spans="1:13" ht="12.75" x14ac:dyDescent="0.2">
      <c r="A82" s="20" t="s">
        <v>75</v>
      </c>
      <c r="B82" s="21">
        <v>1</v>
      </c>
      <c r="C82" s="21">
        <v>2</v>
      </c>
      <c r="D82" s="21">
        <v>3</v>
      </c>
      <c r="E82" s="21">
        <v>4</v>
      </c>
      <c r="F82" s="21">
        <v>5</v>
      </c>
      <c r="G82" s="21">
        <v>6</v>
      </c>
      <c r="H82" s="1"/>
      <c r="I82" s="1"/>
      <c r="J82" s="1"/>
      <c r="K82" s="1"/>
      <c r="L82" s="1"/>
      <c r="M82" s="1"/>
    </row>
    <row r="83" spans="1:13" ht="12.75" x14ac:dyDescent="0.2">
      <c r="A83" s="20" t="s">
        <v>8</v>
      </c>
      <c r="B83" s="22">
        <v>0.72282999999999997</v>
      </c>
      <c r="C83" s="22">
        <v>0.579013</v>
      </c>
      <c r="D83" s="20" t="s">
        <v>96</v>
      </c>
      <c r="E83" s="20" t="s">
        <v>96</v>
      </c>
      <c r="F83" s="22">
        <v>0.162409</v>
      </c>
      <c r="G83" s="23">
        <v>6.4891299999999999E-2</v>
      </c>
    </row>
    <row r="84" spans="1:13" ht="12.75" x14ac:dyDescent="0.2">
      <c r="A84" s="20" t="s">
        <v>9</v>
      </c>
      <c r="B84" s="24">
        <v>1.38575</v>
      </c>
      <c r="C84" s="24">
        <v>1.2002200000000001</v>
      </c>
      <c r="D84" s="20" t="s">
        <v>96</v>
      </c>
      <c r="E84" s="20" t="s">
        <v>96</v>
      </c>
      <c r="F84" s="22">
        <v>0.32492700000000002</v>
      </c>
      <c r="G84" s="22">
        <v>0.27763300000000002</v>
      </c>
    </row>
    <row r="85" spans="1:13" ht="12.75" x14ac:dyDescent="0.2">
      <c r="A85" s="20" t="s">
        <v>10</v>
      </c>
      <c r="B85" s="24">
        <v>2.6168999999999998</v>
      </c>
      <c r="C85" s="24">
        <v>2.2148599999999998</v>
      </c>
      <c r="D85" s="20" t="s">
        <v>96</v>
      </c>
      <c r="E85" s="20" t="s">
        <v>96</v>
      </c>
      <c r="F85" s="24">
        <v>1.2767900000000001</v>
      </c>
      <c r="G85" s="24">
        <v>1.01972</v>
      </c>
    </row>
    <row r="86" spans="1:13" ht="12.75" x14ac:dyDescent="0.2">
      <c r="A86" s="20" t="s">
        <v>11</v>
      </c>
      <c r="B86" s="24">
        <v>5.2414500000000004</v>
      </c>
      <c r="C86" s="24">
        <v>4.43424</v>
      </c>
      <c r="D86" s="22">
        <v>0.218392</v>
      </c>
      <c r="E86" s="22">
        <v>0.18072299999999999</v>
      </c>
      <c r="F86" s="24">
        <v>2.2570800000000002</v>
      </c>
      <c r="G86" s="24">
        <v>1.7477</v>
      </c>
    </row>
    <row r="87" spans="1:13" ht="12.75" x14ac:dyDescent="0.2">
      <c r="A87" s="20" t="s">
        <v>12</v>
      </c>
      <c r="B87" s="25">
        <v>10.967700000000001</v>
      </c>
      <c r="C87" s="24">
        <v>9.7265499999999996</v>
      </c>
      <c r="D87" s="23">
        <v>2.58216E-2</v>
      </c>
      <c r="E87" s="26">
        <v>7.19733E-3</v>
      </c>
      <c r="F87" s="23">
        <v>1.6003699999999999E-2</v>
      </c>
      <c r="G87" s="23">
        <v>1.24774E-2</v>
      </c>
    </row>
    <row r="88" spans="1:13" ht="12.75" x14ac:dyDescent="0.2">
      <c r="A88" s="20" t="s">
        <v>13</v>
      </c>
      <c r="B88" s="25">
        <v>21.1128</v>
      </c>
      <c r="C88" s="25">
        <v>18.512499999999999</v>
      </c>
      <c r="D88" s="20" t="s">
        <v>96</v>
      </c>
      <c r="E88" s="20" t="s">
        <v>96</v>
      </c>
      <c r="F88" s="22">
        <v>0.45250800000000002</v>
      </c>
      <c r="G88" s="22">
        <v>0.30810300000000002</v>
      </c>
    </row>
    <row r="89" spans="1:13" ht="12.75" x14ac:dyDescent="0.2">
      <c r="A89" s="20" t="s">
        <v>14</v>
      </c>
      <c r="B89" s="25">
        <v>40.040599999999998</v>
      </c>
      <c r="C89" s="22">
        <v>0.53773899999999997</v>
      </c>
      <c r="D89" s="20" t="s">
        <v>96</v>
      </c>
      <c r="E89" s="23">
        <v>8.5314000000000001E-2</v>
      </c>
      <c r="F89" s="22">
        <v>0.75510600000000005</v>
      </c>
      <c r="G89" s="22">
        <v>0.53581000000000001</v>
      </c>
    </row>
    <row r="90" spans="1:13" ht="12.75" x14ac:dyDescent="0.2">
      <c r="A90" s="20" t="s">
        <v>15</v>
      </c>
      <c r="B90" s="20"/>
      <c r="C90" s="23">
        <v>8.8819200000000001E-2</v>
      </c>
      <c r="D90" s="22">
        <v>0.10090200000000001</v>
      </c>
      <c r="E90" s="22">
        <v>0.16791200000000001</v>
      </c>
      <c r="F90" s="24">
        <v>1.0177499999999999</v>
      </c>
      <c r="G90" s="22">
        <v>0.72357899999999997</v>
      </c>
    </row>
    <row r="91" spans="1:13" ht="12.75" x14ac:dyDescent="0.2"/>
    <row r="92" spans="1:13" ht="12.75" x14ac:dyDescent="0.2">
      <c r="A92" s="20" t="s">
        <v>16</v>
      </c>
      <c r="B92" s="21">
        <v>1</v>
      </c>
      <c r="C92" s="21">
        <v>2</v>
      </c>
      <c r="D92" s="21">
        <v>3</v>
      </c>
      <c r="E92" s="21">
        <v>4</v>
      </c>
      <c r="F92" s="21">
        <v>5</v>
      </c>
      <c r="G92" s="21">
        <v>6</v>
      </c>
      <c r="H92" s="1"/>
      <c r="I92" s="1"/>
      <c r="J92" s="1"/>
      <c r="K92" s="1"/>
      <c r="L92" s="1"/>
      <c r="M92" s="1"/>
    </row>
    <row r="93" spans="1:13" ht="12.75" x14ac:dyDescent="0.2">
      <c r="A93" s="20" t="s">
        <v>8</v>
      </c>
      <c r="B93" s="20" t="s">
        <v>222</v>
      </c>
      <c r="C93" s="20" t="s">
        <v>222</v>
      </c>
      <c r="D93" s="20" t="s">
        <v>224</v>
      </c>
      <c r="E93" s="20" t="s">
        <v>224</v>
      </c>
      <c r="F93" s="20" t="s">
        <v>232</v>
      </c>
      <c r="G93" s="20" t="s">
        <v>232</v>
      </c>
    </row>
    <row r="94" spans="1:13" ht="12.75" x14ac:dyDescent="0.2">
      <c r="A94" s="20" t="s">
        <v>9</v>
      </c>
      <c r="B94" s="20" t="s">
        <v>221</v>
      </c>
      <c r="C94" s="20" t="s">
        <v>221</v>
      </c>
      <c r="D94" s="20" t="s">
        <v>225</v>
      </c>
      <c r="E94" s="20" t="s">
        <v>225</v>
      </c>
      <c r="F94" s="19" t="s">
        <v>235</v>
      </c>
      <c r="G94" s="19" t="s">
        <v>235</v>
      </c>
    </row>
    <row r="95" spans="1:13" ht="12.75" x14ac:dyDescent="0.2">
      <c r="A95" s="20" t="s">
        <v>10</v>
      </c>
      <c r="B95" s="20" t="s">
        <v>220</v>
      </c>
      <c r="C95" s="20" t="s">
        <v>220</v>
      </c>
      <c r="D95" s="20" t="s">
        <v>226</v>
      </c>
      <c r="E95" s="20" t="s">
        <v>226</v>
      </c>
      <c r="F95" s="19" t="s">
        <v>237</v>
      </c>
      <c r="G95" s="19" t="s">
        <v>237</v>
      </c>
    </row>
    <row r="96" spans="1:13" ht="12.75" x14ac:dyDescent="0.2">
      <c r="A96" s="20" t="s">
        <v>11</v>
      </c>
      <c r="B96" s="20" t="s">
        <v>219</v>
      </c>
      <c r="C96" s="20" t="s">
        <v>219</v>
      </c>
      <c r="D96" s="20" t="s">
        <v>227</v>
      </c>
      <c r="E96" s="20" t="s">
        <v>227</v>
      </c>
      <c r="F96" s="19" t="s">
        <v>236</v>
      </c>
      <c r="G96" s="19" t="s">
        <v>236</v>
      </c>
    </row>
    <row r="97" spans="1:7" ht="12.75" x14ac:dyDescent="0.2">
      <c r="A97" s="20" t="s">
        <v>12</v>
      </c>
      <c r="B97" s="20" t="s">
        <v>218</v>
      </c>
      <c r="C97" s="20" t="s">
        <v>218</v>
      </c>
      <c r="D97" s="20" t="s">
        <v>228</v>
      </c>
      <c r="E97" s="20" t="s">
        <v>228</v>
      </c>
      <c r="F97" s="20" t="s">
        <v>241</v>
      </c>
      <c r="G97" s="20" t="s">
        <v>241</v>
      </c>
    </row>
    <row r="98" spans="1:7" ht="12.75" x14ac:dyDescent="0.2">
      <c r="A98" s="20" t="s">
        <v>13</v>
      </c>
      <c r="B98" s="20" t="s">
        <v>217</v>
      </c>
      <c r="C98" s="20" t="s">
        <v>217</v>
      </c>
      <c r="D98" s="20" t="s">
        <v>229</v>
      </c>
      <c r="E98" s="20" t="s">
        <v>229</v>
      </c>
      <c r="F98" s="19" t="s">
        <v>238</v>
      </c>
      <c r="G98" s="19" t="s">
        <v>238</v>
      </c>
    </row>
    <row r="99" spans="1:7" ht="12.75" x14ac:dyDescent="0.2">
      <c r="A99" s="20" t="s">
        <v>14</v>
      </c>
      <c r="B99" s="20" t="s">
        <v>216</v>
      </c>
      <c r="C99" s="19" t="s">
        <v>233</v>
      </c>
      <c r="D99" s="20" t="s">
        <v>230</v>
      </c>
      <c r="E99" s="20" t="s">
        <v>230</v>
      </c>
      <c r="F99" s="19" t="s">
        <v>239</v>
      </c>
      <c r="G99" s="19" t="s">
        <v>239</v>
      </c>
    </row>
    <row r="100" spans="1:7" ht="12.75" x14ac:dyDescent="0.2">
      <c r="A100" s="20" t="s">
        <v>15</v>
      </c>
      <c r="B100" s="20" t="s">
        <v>223</v>
      </c>
      <c r="C100" s="19" t="s">
        <v>234</v>
      </c>
      <c r="D100" s="20" t="s">
        <v>231</v>
      </c>
      <c r="E100" s="20" t="s">
        <v>231</v>
      </c>
      <c r="F100" s="19" t="s">
        <v>240</v>
      </c>
      <c r="G100" s="19" t="s">
        <v>240</v>
      </c>
    </row>
    <row r="102" spans="1:7" ht="12.75" x14ac:dyDescent="0.2">
      <c r="A102" t="s">
        <v>97</v>
      </c>
    </row>
    <row r="103" spans="1:7" ht="15" customHeight="1" x14ac:dyDescent="0.2">
      <c r="F103" s="34" t="s">
        <v>260</v>
      </c>
      <c r="G103" s="34"/>
    </row>
    <row r="104" spans="1:7" ht="15" customHeight="1" x14ac:dyDescent="0.2">
      <c r="F104" s="35" t="s">
        <v>261</v>
      </c>
      <c r="G104" s="35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5"/>
  <sheetViews>
    <sheetView topLeftCell="A16" workbookViewId="0">
      <selection activeCell="F49" sqref="F49"/>
    </sheetView>
  </sheetViews>
  <sheetFormatPr defaultColWidth="9.140625" defaultRowHeight="15" customHeight="1" x14ac:dyDescent="0.2"/>
  <cols>
    <col min="1" max="2" width="11.28515625" customWidth="1"/>
    <col min="3" max="3" width="17.28515625" customWidth="1"/>
    <col min="4" max="4" width="12.42578125" customWidth="1"/>
    <col min="5" max="5" width="13" customWidth="1"/>
    <col min="6" max="7" width="19.855468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98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0" t="s">
        <v>99</v>
      </c>
      <c r="B13" s="21">
        <v>1</v>
      </c>
      <c r="C13" s="21">
        <v>2</v>
      </c>
      <c r="D13" s="21">
        <v>3</v>
      </c>
      <c r="E13" s="21">
        <v>4</v>
      </c>
      <c r="F13" s="21">
        <v>5</v>
      </c>
      <c r="G13" s="21">
        <v>6</v>
      </c>
      <c r="H13" s="1"/>
      <c r="I13" s="1"/>
      <c r="J13" s="1"/>
      <c r="K13" s="1"/>
      <c r="L13" s="1"/>
      <c r="M13" s="1"/>
    </row>
    <row r="14" spans="1:13" ht="15" customHeight="1" x14ac:dyDescent="0.2">
      <c r="A14" s="20" t="s">
        <v>8</v>
      </c>
      <c r="B14" s="23">
        <v>6.5944000000000003E-2</v>
      </c>
      <c r="C14" s="23">
        <v>4.8926999999999998E-2</v>
      </c>
      <c r="D14" s="23">
        <v>-6.6059999999999994E-2</v>
      </c>
      <c r="E14" s="23">
        <v>-4.6039999999999998E-2</v>
      </c>
      <c r="F14" s="26">
        <v>-6.0730000000000003E-3</v>
      </c>
      <c r="G14" s="23">
        <v>-2.1755E-2</v>
      </c>
    </row>
    <row r="15" spans="1:13" ht="15" customHeight="1" x14ac:dyDescent="0.2">
      <c r="A15" s="20" t="s">
        <v>9</v>
      </c>
      <c r="B15" s="22">
        <v>0.13816200000000001</v>
      </c>
      <c r="C15" s="22">
        <v>0.118746</v>
      </c>
      <c r="D15" s="23">
        <v>-6.1815000000000002E-2</v>
      </c>
      <c r="E15" s="23">
        <v>-6.1663000000000003E-2</v>
      </c>
      <c r="F15" s="23">
        <v>1.6809000000000001E-2</v>
      </c>
      <c r="G15" s="23">
        <v>1.0411999999999999E-2</v>
      </c>
    </row>
    <row r="16" spans="1:13" ht="15" customHeight="1" x14ac:dyDescent="0.2">
      <c r="A16" s="20" t="s">
        <v>10</v>
      </c>
      <c r="B16" s="22">
        <v>0.257411</v>
      </c>
      <c r="C16" s="22">
        <v>0.21994900000000001</v>
      </c>
      <c r="D16" s="23">
        <v>-5.3395999999999999E-2</v>
      </c>
      <c r="E16" s="23">
        <v>-6.3413999999999998E-2</v>
      </c>
      <c r="F16" s="22">
        <v>0.12682099999999999</v>
      </c>
      <c r="G16" s="23">
        <v>9.9325999999999998E-2</v>
      </c>
    </row>
    <row r="17" spans="1:13" ht="15" customHeight="1" x14ac:dyDescent="0.2">
      <c r="A17" s="20" t="s">
        <v>11</v>
      </c>
      <c r="B17" s="22">
        <v>0.48061700000000002</v>
      </c>
      <c r="C17" s="22">
        <v>0.41508499999999998</v>
      </c>
      <c r="D17" s="26">
        <v>2.124E-3</v>
      </c>
      <c r="E17" s="26">
        <v>-3.3449999999999999E-3</v>
      </c>
      <c r="F17" s="22">
        <v>0.22394</v>
      </c>
      <c r="G17" s="22">
        <v>0.17474500000000001</v>
      </c>
    </row>
    <row r="18" spans="1:13" ht="15" customHeight="1" x14ac:dyDescent="0.2">
      <c r="A18" s="20" t="s">
        <v>12</v>
      </c>
      <c r="B18" s="22">
        <v>0.89815500000000004</v>
      </c>
      <c r="C18" s="22">
        <v>0.81311</v>
      </c>
      <c r="D18" s="23">
        <v>-2.9097000000000001E-2</v>
      </c>
      <c r="E18" s="23">
        <v>-3.3270000000000001E-2</v>
      </c>
      <c r="F18" s="23">
        <v>-3.1189999999999999E-2</v>
      </c>
      <c r="G18" s="23">
        <v>-3.1990999999999999E-2</v>
      </c>
    </row>
    <row r="19" spans="1:13" ht="15" customHeight="1" x14ac:dyDescent="0.2">
      <c r="A19" s="20" t="s">
        <v>13</v>
      </c>
      <c r="B19" s="24">
        <v>1.5224</v>
      </c>
      <c r="C19" s="24">
        <v>1.37225</v>
      </c>
      <c r="D19" s="23">
        <v>-4.2389000000000003E-2</v>
      </c>
      <c r="E19" s="23">
        <v>-3.7893999999999997E-2</v>
      </c>
      <c r="F19" s="23">
        <v>3.3334000000000003E-2</v>
      </c>
      <c r="G19" s="23">
        <v>1.4553E-2</v>
      </c>
    </row>
    <row r="20" spans="1:13" ht="15" customHeight="1" x14ac:dyDescent="0.2">
      <c r="A20" s="20" t="s">
        <v>14</v>
      </c>
      <c r="B20" s="24">
        <v>2.4817999999999998</v>
      </c>
      <c r="C20" s="23">
        <v>4.3912E-2</v>
      </c>
      <c r="D20" s="23">
        <v>-3.7442999999999997E-2</v>
      </c>
      <c r="E20" s="23">
        <v>-1.8252000000000001E-2</v>
      </c>
      <c r="F20" s="23">
        <v>6.9677000000000003E-2</v>
      </c>
      <c r="G20" s="23">
        <v>4.3676E-2</v>
      </c>
    </row>
    <row r="21" spans="1:13" ht="15" customHeight="1" x14ac:dyDescent="0.2">
      <c r="A21" s="20" t="s">
        <v>15</v>
      </c>
      <c r="B21" s="27">
        <v>0</v>
      </c>
      <c r="C21" s="23">
        <v>-1.7666000000000001E-2</v>
      </c>
      <c r="D21" s="23">
        <v>-1.5675000000000001E-2</v>
      </c>
      <c r="E21" s="26">
        <v>-5.2480000000000001E-3</v>
      </c>
      <c r="F21" s="23">
        <v>9.9111000000000005E-2</v>
      </c>
      <c r="G21" s="23">
        <v>6.6031000000000006E-2</v>
      </c>
    </row>
    <row r="23" spans="1:13" ht="15" customHeight="1" x14ac:dyDescent="0.2">
      <c r="A23" t="s">
        <v>16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/>
      <c r="I23" s="1"/>
      <c r="J23" s="1"/>
      <c r="K23" s="1"/>
      <c r="L23" s="1"/>
      <c r="M23" s="1"/>
    </row>
    <row r="24" spans="1:13" ht="15" customHeight="1" x14ac:dyDescent="0.2">
      <c r="A24" t="s">
        <v>8</v>
      </c>
      <c r="B24" s="20" t="s">
        <v>222</v>
      </c>
      <c r="C24" s="20" t="s">
        <v>222</v>
      </c>
      <c r="D24" s="20" t="s">
        <v>224</v>
      </c>
      <c r="E24" s="20" t="s">
        <v>224</v>
      </c>
      <c r="F24" s="20" t="s">
        <v>232</v>
      </c>
      <c r="G24" s="20" t="s">
        <v>232</v>
      </c>
    </row>
    <row r="25" spans="1:13" ht="15" customHeight="1" x14ac:dyDescent="0.2">
      <c r="A25" t="s">
        <v>9</v>
      </c>
      <c r="B25" s="20" t="s">
        <v>221</v>
      </c>
      <c r="C25" s="20" t="s">
        <v>221</v>
      </c>
      <c r="D25" s="20" t="s">
        <v>225</v>
      </c>
      <c r="E25" s="20" t="s">
        <v>225</v>
      </c>
      <c r="F25" s="19" t="s">
        <v>235</v>
      </c>
      <c r="G25" s="19" t="s">
        <v>235</v>
      </c>
    </row>
    <row r="26" spans="1:13" ht="15" customHeight="1" x14ac:dyDescent="0.2">
      <c r="A26" t="s">
        <v>10</v>
      </c>
      <c r="B26" s="20" t="s">
        <v>220</v>
      </c>
      <c r="C26" s="20" t="s">
        <v>220</v>
      </c>
      <c r="D26" s="20" t="s">
        <v>226</v>
      </c>
      <c r="E26" s="20" t="s">
        <v>226</v>
      </c>
      <c r="F26" s="19" t="s">
        <v>237</v>
      </c>
      <c r="G26" s="19" t="s">
        <v>237</v>
      </c>
    </row>
    <row r="27" spans="1:13" ht="15" customHeight="1" x14ac:dyDescent="0.2">
      <c r="A27" t="s">
        <v>11</v>
      </c>
      <c r="B27" s="20" t="s">
        <v>219</v>
      </c>
      <c r="C27" s="20" t="s">
        <v>219</v>
      </c>
      <c r="D27" s="20" t="s">
        <v>227</v>
      </c>
      <c r="E27" s="20" t="s">
        <v>227</v>
      </c>
      <c r="F27" s="19" t="s">
        <v>236</v>
      </c>
      <c r="G27" s="19" t="s">
        <v>236</v>
      </c>
    </row>
    <row r="28" spans="1:13" ht="15" customHeight="1" x14ac:dyDescent="0.2">
      <c r="A28" t="s">
        <v>12</v>
      </c>
      <c r="B28" s="20" t="s">
        <v>218</v>
      </c>
      <c r="C28" s="20" t="s">
        <v>218</v>
      </c>
      <c r="D28" s="20" t="s">
        <v>228</v>
      </c>
      <c r="E28" s="20" t="s">
        <v>228</v>
      </c>
      <c r="F28" s="20" t="s">
        <v>241</v>
      </c>
      <c r="G28" s="20" t="s">
        <v>241</v>
      </c>
    </row>
    <row r="29" spans="1:13" ht="15" customHeight="1" x14ac:dyDescent="0.2">
      <c r="A29" t="s">
        <v>13</v>
      </c>
      <c r="B29" s="20" t="s">
        <v>217</v>
      </c>
      <c r="C29" s="20" t="s">
        <v>217</v>
      </c>
      <c r="D29" s="20" t="s">
        <v>229</v>
      </c>
      <c r="E29" s="20" t="s">
        <v>229</v>
      </c>
      <c r="F29" s="19" t="s">
        <v>238</v>
      </c>
      <c r="G29" s="19" t="s">
        <v>238</v>
      </c>
    </row>
    <row r="30" spans="1:13" ht="15" customHeight="1" x14ac:dyDescent="0.2">
      <c r="A30" t="s">
        <v>14</v>
      </c>
      <c r="B30" s="20" t="s">
        <v>216</v>
      </c>
      <c r="C30" s="19" t="s">
        <v>233</v>
      </c>
      <c r="D30" s="20" t="s">
        <v>230</v>
      </c>
      <c r="E30" s="20" t="s">
        <v>230</v>
      </c>
      <c r="F30" s="19" t="s">
        <v>239</v>
      </c>
      <c r="G30" s="19" t="s">
        <v>239</v>
      </c>
    </row>
    <row r="31" spans="1:13" ht="15" customHeight="1" x14ac:dyDescent="0.2">
      <c r="A31" t="s">
        <v>15</v>
      </c>
      <c r="B31" s="20" t="s">
        <v>223</v>
      </c>
      <c r="C31" s="19" t="s">
        <v>234</v>
      </c>
      <c r="D31" s="20" t="s">
        <v>231</v>
      </c>
      <c r="E31" s="20" t="s">
        <v>231</v>
      </c>
      <c r="F31" s="19" t="s">
        <v>240</v>
      </c>
      <c r="G31" s="19" t="s">
        <v>240</v>
      </c>
    </row>
    <row r="33" spans="1:7" ht="15" customHeight="1" x14ac:dyDescent="0.2">
      <c r="A33" t="s">
        <v>100</v>
      </c>
    </row>
    <row r="34" spans="1:7" ht="15" customHeight="1" x14ac:dyDescent="0.2">
      <c r="F34" s="34" t="s">
        <v>260</v>
      </c>
      <c r="G34" s="34"/>
    </row>
    <row r="35" spans="1:7" ht="15" customHeight="1" x14ac:dyDescent="0.2">
      <c r="F35" s="35" t="s">
        <v>261</v>
      </c>
      <c r="G35" s="3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Q104"/>
  <sheetViews>
    <sheetView tabSelected="1" topLeftCell="A63" workbookViewId="0">
      <selection activeCell="I101" sqref="I101"/>
    </sheetView>
  </sheetViews>
  <sheetFormatPr defaultColWidth="9.140625" defaultRowHeight="15" customHeight="1" x14ac:dyDescent="0.2"/>
  <cols>
    <col min="1" max="1" width="9" customWidth="1"/>
    <col min="2" max="2" width="12" customWidth="1"/>
    <col min="3" max="3" width="18.28515625" customWidth="1"/>
    <col min="4" max="4" width="11.140625" customWidth="1"/>
    <col min="5" max="5" width="12" customWidth="1"/>
    <col min="6" max="7" width="19.42578125" customWidth="1"/>
    <col min="8" max="8" width="4.140625" customWidth="1"/>
    <col min="9" max="12" width="21" customWidth="1"/>
    <col min="14" max="17" width="17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101</v>
      </c>
    </row>
    <row r="7" spans="1:1" ht="15" customHeight="1" x14ac:dyDescent="0.2">
      <c r="A7" t="s">
        <v>61</v>
      </c>
    </row>
    <row r="8" spans="1:1" ht="15" customHeight="1" x14ac:dyDescent="0.2">
      <c r="A8" t="s">
        <v>62</v>
      </c>
    </row>
    <row r="9" spans="1:1" ht="15" customHeight="1" x14ac:dyDescent="0.2">
      <c r="A9" t="s">
        <v>63</v>
      </c>
    </row>
    <row r="10" spans="1:1" ht="15" customHeight="1" x14ac:dyDescent="0.2">
      <c r="A10" t="s">
        <v>5</v>
      </c>
    </row>
    <row r="11" spans="1:1" ht="15" customHeight="1" x14ac:dyDescent="0.2">
      <c r="A11" t="s">
        <v>64</v>
      </c>
    </row>
    <row r="12" spans="1:1" ht="15" customHeight="1" x14ac:dyDescent="0.2">
      <c r="A12" t="s">
        <v>65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102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7">
        <v>-3.5474499999999999E-2</v>
      </c>
    </row>
    <row r="41" spans="1:7" ht="12.75" x14ac:dyDescent="0.2">
      <c r="A41" t="s">
        <v>70</v>
      </c>
      <c r="B41" s="2">
        <v>0.83169300000000002</v>
      </c>
    </row>
    <row r="42" spans="1:7" ht="12.75" x14ac:dyDescent="0.2">
      <c r="A42" t="s">
        <v>71</v>
      </c>
      <c r="B42" s="3">
        <v>421.18099999999998</v>
      </c>
    </row>
    <row r="43" spans="1:7" ht="12.75" x14ac:dyDescent="0.2">
      <c r="A43" t="s">
        <v>72</v>
      </c>
      <c r="B43" s="4">
        <v>20.301200000000001</v>
      </c>
    </row>
    <row r="44" spans="1:7" ht="12.75" x14ac:dyDescent="0.2"/>
    <row r="45" spans="1:7" ht="12.75" x14ac:dyDescent="0.2">
      <c r="A45" t="s">
        <v>73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47</v>
      </c>
      <c r="C48" s="4">
        <v>40</v>
      </c>
      <c r="D48" s="5">
        <v>2.4817999999999998</v>
      </c>
      <c r="E48" t="s">
        <v>81</v>
      </c>
      <c r="F48" s="5">
        <v>2.47993</v>
      </c>
      <c r="G48" s="6">
        <v>1.8610300000000001E-3</v>
      </c>
    </row>
    <row r="49" spans="1:7" ht="12.75" x14ac:dyDescent="0.2">
      <c r="A49" t="s">
        <v>82</v>
      </c>
      <c r="B49" t="s">
        <v>47</v>
      </c>
      <c r="C49" s="4">
        <v>40</v>
      </c>
      <c r="D49" s="5">
        <v>2.4817999999999998</v>
      </c>
      <c r="F49" s="5">
        <v>2.47993</v>
      </c>
      <c r="G49" s="6">
        <v>1.8610300000000001E-3</v>
      </c>
    </row>
    <row r="50" spans="1:7" ht="12.75" x14ac:dyDescent="0.2">
      <c r="A50" t="s">
        <v>80</v>
      </c>
      <c r="B50" t="s">
        <v>42</v>
      </c>
      <c r="C50" s="4">
        <v>20</v>
      </c>
      <c r="D50" s="5">
        <v>1.4473199999999999</v>
      </c>
      <c r="E50" s="5">
        <v>7.3357700000000001</v>
      </c>
      <c r="F50" s="5">
        <v>1.4588399999999999</v>
      </c>
      <c r="G50" s="7">
        <v>-1.1515299999999999E-2</v>
      </c>
    </row>
    <row r="51" spans="1:7" ht="12.75" x14ac:dyDescent="0.2">
      <c r="A51" t="s">
        <v>83</v>
      </c>
      <c r="B51" t="s">
        <v>42</v>
      </c>
      <c r="C51" s="4">
        <v>20</v>
      </c>
      <c r="D51" s="5">
        <v>1.5224</v>
      </c>
      <c r="F51" s="5">
        <v>1.4588399999999999</v>
      </c>
      <c r="G51" s="7">
        <v>6.3559699999999997E-2</v>
      </c>
    </row>
    <row r="52" spans="1:7" ht="12.75" x14ac:dyDescent="0.2">
      <c r="A52" t="s">
        <v>84</v>
      </c>
      <c r="B52" t="s">
        <v>42</v>
      </c>
      <c r="C52" s="4">
        <v>20</v>
      </c>
      <c r="D52" s="5">
        <v>1.37225</v>
      </c>
      <c r="F52" s="5">
        <v>1.4588399999999999</v>
      </c>
      <c r="G52" s="7">
        <v>-8.6590299999999995E-2</v>
      </c>
    </row>
    <row r="53" spans="1:7" ht="12.75" x14ac:dyDescent="0.2">
      <c r="A53" t="s">
        <v>80</v>
      </c>
      <c r="B53" t="s">
        <v>37</v>
      </c>
      <c r="C53" s="4">
        <v>10</v>
      </c>
      <c r="D53" s="2">
        <v>0.85563299999999998</v>
      </c>
      <c r="E53" s="5">
        <v>7.0282400000000003</v>
      </c>
      <c r="F53" s="2">
        <v>0.83206100000000005</v>
      </c>
      <c r="G53" s="7">
        <v>2.3571499999999999E-2</v>
      </c>
    </row>
    <row r="54" spans="1:7" ht="12.75" x14ac:dyDescent="0.2">
      <c r="A54" t="s">
        <v>85</v>
      </c>
      <c r="B54" t="s">
        <v>37</v>
      </c>
      <c r="C54" s="4">
        <v>10</v>
      </c>
      <c r="D54" s="2">
        <v>0.89815500000000004</v>
      </c>
      <c r="F54" s="2">
        <v>0.83206100000000005</v>
      </c>
      <c r="G54" s="7">
        <v>6.6094E-2</v>
      </c>
    </row>
    <row r="55" spans="1:7" ht="12.75" x14ac:dyDescent="0.2">
      <c r="A55" t="s">
        <v>86</v>
      </c>
      <c r="B55" t="s">
        <v>37</v>
      </c>
      <c r="C55" s="4">
        <v>10</v>
      </c>
      <c r="D55" s="2">
        <v>0.81311</v>
      </c>
      <c r="F55" s="2">
        <v>0.83206100000000005</v>
      </c>
      <c r="G55" s="7">
        <v>-1.8950999999999999E-2</v>
      </c>
    </row>
    <row r="56" spans="1:7" ht="12.75" x14ac:dyDescent="0.2">
      <c r="A56" t="s">
        <v>80</v>
      </c>
      <c r="B56" t="s">
        <v>32</v>
      </c>
      <c r="C56" s="5">
        <v>5</v>
      </c>
      <c r="D56" s="2">
        <v>0.447851</v>
      </c>
      <c r="E56" s="4">
        <v>10.3468</v>
      </c>
      <c r="F56" s="2">
        <v>0.46125100000000002</v>
      </c>
      <c r="G56" s="7">
        <v>-1.3399899999999999E-2</v>
      </c>
    </row>
    <row r="57" spans="1:7" ht="12.75" x14ac:dyDescent="0.2">
      <c r="A57" t="s">
        <v>87</v>
      </c>
      <c r="B57" t="s">
        <v>32</v>
      </c>
      <c r="C57" s="5">
        <v>5</v>
      </c>
      <c r="D57" s="2">
        <v>0.48061700000000002</v>
      </c>
      <c r="F57" s="2">
        <v>0.46125100000000002</v>
      </c>
      <c r="G57" s="7">
        <v>1.9366100000000001E-2</v>
      </c>
    </row>
    <row r="58" spans="1:7" ht="12.75" x14ac:dyDescent="0.2">
      <c r="A58" t="s">
        <v>88</v>
      </c>
      <c r="B58" t="s">
        <v>32</v>
      </c>
      <c r="C58" s="5">
        <v>5</v>
      </c>
      <c r="D58" s="2">
        <v>0.41508499999999998</v>
      </c>
      <c r="F58" s="2">
        <v>0.46125100000000002</v>
      </c>
      <c r="G58" s="7">
        <v>-4.6165900000000003E-2</v>
      </c>
    </row>
    <row r="59" spans="1:7" ht="12.75" x14ac:dyDescent="0.2">
      <c r="A59" t="s">
        <v>80</v>
      </c>
      <c r="B59" t="s">
        <v>27</v>
      </c>
      <c r="C59" s="5">
        <v>2.5</v>
      </c>
      <c r="D59" s="2">
        <v>0.23868</v>
      </c>
      <c r="E59" s="4">
        <v>11.0984</v>
      </c>
      <c r="F59" s="2">
        <v>0.246639</v>
      </c>
      <c r="G59" s="6">
        <v>-7.9592900000000008E-3</v>
      </c>
    </row>
    <row r="60" spans="1:7" ht="12.75" x14ac:dyDescent="0.2">
      <c r="A60" t="s">
        <v>89</v>
      </c>
      <c r="B60" t="s">
        <v>27</v>
      </c>
      <c r="C60" s="5">
        <v>2.5</v>
      </c>
      <c r="D60" s="2">
        <v>0.257411</v>
      </c>
      <c r="F60" s="2">
        <v>0.246639</v>
      </c>
      <c r="G60" s="7">
        <v>1.07717E-2</v>
      </c>
    </row>
    <row r="61" spans="1:7" ht="12.75" x14ac:dyDescent="0.2">
      <c r="A61" t="s">
        <v>90</v>
      </c>
      <c r="B61" t="s">
        <v>27</v>
      </c>
      <c r="C61" s="5">
        <v>2.5</v>
      </c>
      <c r="D61" s="2">
        <v>0.21994900000000001</v>
      </c>
      <c r="F61" s="2">
        <v>0.246639</v>
      </c>
      <c r="G61" s="7">
        <v>-2.66903E-2</v>
      </c>
    </row>
    <row r="62" spans="1:7" ht="12.75" x14ac:dyDescent="0.2">
      <c r="A62" t="s">
        <v>80</v>
      </c>
      <c r="B62" t="s">
        <v>22</v>
      </c>
      <c r="C62" s="5">
        <v>1.25</v>
      </c>
      <c r="D62" s="2">
        <v>0.12845400000000001</v>
      </c>
      <c r="E62" s="4">
        <v>10.688000000000001</v>
      </c>
      <c r="F62" s="2">
        <v>0.12400600000000001</v>
      </c>
      <c r="G62" s="6">
        <v>4.4481099999999999E-3</v>
      </c>
    </row>
    <row r="63" spans="1:7" ht="12.75" x14ac:dyDescent="0.2">
      <c r="A63" t="s">
        <v>91</v>
      </c>
      <c r="B63" t="s">
        <v>22</v>
      </c>
      <c r="C63" s="5">
        <v>1.25</v>
      </c>
      <c r="D63" s="2">
        <v>0.13816200000000001</v>
      </c>
      <c r="F63" s="2">
        <v>0.12400600000000001</v>
      </c>
      <c r="G63" s="7">
        <v>1.41561E-2</v>
      </c>
    </row>
    <row r="64" spans="1:7" ht="12.75" x14ac:dyDescent="0.2">
      <c r="A64" t="s">
        <v>92</v>
      </c>
      <c r="B64" t="s">
        <v>22</v>
      </c>
      <c r="C64" s="5">
        <v>1.25</v>
      </c>
      <c r="D64" s="2">
        <v>0.118746</v>
      </c>
      <c r="F64" s="2">
        <v>0.12400600000000001</v>
      </c>
      <c r="G64" s="6">
        <v>-5.2598899999999997E-3</v>
      </c>
    </row>
    <row r="65" spans="1:17" ht="12.75" x14ac:dyDescent="0.2">
      <c r="A65" t="s">
        <v>80</v>
      </c>
      <c r="B65" t="s">
        <v>17</v>
      </c>
      <c r="C65" s="2">
        <v>0.625</v>
      </c>
      <c r="D65" s="7">
        <v>5.74355E-2</v>
      </c>
      <c r="E65" s="4">
        <v>20.950199999999999</v>
      </c>
      <c r="F65" s="7">
        <v>5.44416E-2</v>
      </c>
      <c r="G65" s="6">
        <v>2.9939099999999998E-3</v>
      </c>
    </row>
    <row r="66" spans="1:17" ht="12.75" x14ac:dyDescent="0.2">
      <c r="A66" t="s">
        <v>93</v>
      </c>
      <c r="B66" t="s">
        <v>17</v>
      </c>
      <c r="C66" s="2">
        <v>0.625</v>
      </c>
      <c r="D66" s="7">
        <v>6.5944000000000003E-2</v>
      </c>
      <c r="F66" s="7">
        <v>5.44416E-2</v>
      </c>
      <c r="G66" s="7">
        <v>1.1502399999999999E-2</v>
      </c>
    </row>
    <row r="67" spans="1:17" ht="12.75" x14ac:dyDescent="0.2">
      <c r="A67" t="s">
        <v>94</v>
      </c>
      <c r="B67" t="s">
        <v>17</v>
      </c>
      <c r="C67" s="2">
        <v>0.625</v>
      </c>
      <c r="D67" s="7">
        <v>4.8926999999999998E-2</v>
      </c>
      <c r="F67" s="7">
        <v>5.44416E-2</v>
      </c>
      <c r="G67" s="6">
        <v>-5.5145899999999998E-3</v>
      </c>
    </row>
    <row r="68" spans="1:17" ht="12.75" x14ac:dyDescent="0.2"/>
    <row r="69" spans="1:17" ht="12.75" x14ac:dyDescent="0.2"/>
    <row r="70" spans="1:17" ht="12.75" x14ac:dyDescent="0.2">
      <c r="A70" t="s">
        <v>6</v>
      </c>
    </row>
    <row r="71" spans="1:17" ht="12.75" x14ac:dyDescent="0.2">
      <c r="A71" t="s">
        <v>3</v>
      </c>
    </row>
    <row r="72" spans="1:17" ht="12.75" x14ac:dyDescent="0.2">
      <c r="A72" s="20" t="s">
        <v>95</v>
      </c>
      <c r="B72" s="21">
        <v>1</v>
      </c>
      <c r="C72" s="21">
        <v>2</v>
      </c>
      <c r="D72" s="21">
        <v>3</v>
      </c>
      <c r="E72" s="21">
        <v>4</v>
      </c>
      <c r="F72" s="21">
        <v>5</v>
      </c>
      <c r="G72" s="21">
        <v>6</v>
      </c>
      <c r="H72" s="1"/>
    </row>
    <row r="73" spans="1:17" ht="12.75" x14ac:dyDescent="0.2">
      <c r="A73" s="20" t="s">
        <v>8</v>
      </c>
      <c r="B73" s="23">
        <v>6.5944000000000003E-2</v>
      </c>
      <c r="C73" s="23">
        <v>4.8926999999999998E-2</v>
      </c>
      <c r="D73" s="23">
        <v>-6.6059999999999994E-2</v>
      </c>
      <c r="E73" s="23">
        <v>-4.6039999999999998E-2</v>
      </c>
      <c r="F73" s="26">
        <v>-6.0730000000000003E-3</v>
      </c>
      <c r="G73" s="23">
        <v>-2.1755E-2</v>
      </c>
      <c r="I73" s="28"/>
      <c r="L73" s="28"/>
    </row>
    <row r="74" spans="1:17" ht="12.75" x14ac:dyDescent="0.2">
      <c r="A74" s="20" t="s">
        <v>9</v>
      </c>
      <c r="B74" s="22">
        <v>0.13816200000000001</v>
      </c>
      <c r="C74" s="22">
        <v>0.118746</v>
      </c>
      <c r="D74" s="23">
        <v>-6.1815000000000002E-2</v>
      </c>
      <c r="E74" s="23">
        <v>-6.1663000000000003E-2</v>
      </c>
      <c r="F74" s="23">
        <v>1.6809000000000001E-2</v>
      </c>
      <c r="G74" s="23">
        <v>1.0411999999999999E-2</v>
      </c>
      <c r="I74" s="28"/>
      <c r="J74" s="36" t="s">
        <v>242</v>
      </c>
      <c r="K74" s="36"/>
      <c r="L74" s="28"/>
    </row>
    <row r="75" spans="1:17" ht="12.75" x14ac:dyDescent="0.2">
      <c r="A75" s="20" t="s">
        <v>10</v>
      </c>
      <c r="B75" s="22">
        <v>0.257411</v>
      </c>
      <c r="C75" s="22">
        <v>0.21994900000000001</v>
      </c>
      <c r="D75" s="23">
        <v>-5.3395999999999999E-2</v>
      </c>
      <c r="E75" s="23">
        <v>-6.3413999999999998E-2</v>
      </c>
      <c r="F75" s="22">
        <v>0.12682099999999999</v>
      </c>
      <c r="G75" s="23">
        <v>9.9325999999999998E-2</v>
      </c>
      <c r="I75" s="19" t="s">
        <v>243</v>
      </c>
      <c r="J75" s="19" t="s">
        <v>244</v>
      </c>
      <c r="K75" s="19" t="s">
        <v>245</v>
      </c>
      <c r="L75" s="19" t="s">
        <v>246</v>
      </c>
    </row>
    <row r="76" spans="1:17" ht="12.75" x14ac:dyDescent="0.2">
      <c r="A76" s="20" t="s">
        <v>11</v>
      </c>
      <c r="B76" s="22">
        <v>0.48061700000000002</v>
      </c>
      <c r="C76" s="22">
        <v>0.41508499999999998</v>
      </c>
      <c r="D76" s="26">
        <v>2.124E-3</v>
      </c>
      <c r="E76" s="26">
        <v>-3.3449999999999999E-3</v>
      </c>
      <c r="F76" s="22">
        <v>0.22394</v>
      </c>
      <c r="G76" s="22">
        <v>0.17474500000000001</v>
      </c>
      <c r="I76" s="19">
        <v>1</v>
      </c>
      <c r="J76" s="31">
        <v>0.11365015000000001</v>
      </c>
      <c r="K76" s="19">
        <f>I76*J76</f>
        <v>0.11365015000000001</v>
      </c>
      <c r="L76" s="19"/>
    </row>
    <row r="77" spans="1:17" ht="12.75" x14ac:dyDescent="0.2">
      <c r="A77" s="20" t="s">
        <v>12</v>
      </c>
      <c r="B77" s="22">
        <v>0.89815500000000004</v>
      </c>
      <c r="C77" s="22">
        <v>0.81311</v>
      </c>
      <c r="D77" s="23">
        <v>-2.9097000000000001E-2</v>
      </c>
      <c r="E77" s="23">
        <v>-3.3270000000000001E-2</v>
      </c>
      <c r="F77" s="23">
        <v>-3.1189999999999999E-2</v>
      </c>
      <c r="G77" s="23">
        <v>-3.1990999999999999E-2</v>
      </c>
      <c r="I77" s="19">
        <v>2</v>
      </c>
      <c r="J77" s="20" t="s">
        <v>96</v>
      </c>
      <c r="K77" s="19" t="e">
        <f t="shared" ref="K77:K80" si="0">I77*J77</f>
        <v>#VALUE!</v>
      </c>
      <c r="L77" s="19"/>
      <c r="N77" s="37" t="s">
        <v>255</v>
      </c>
      <c r="O77" s="37"/>
      <c r="P77" s="37"/>
      <c r="Q77" s="37"/>
    </row>
    <row r="78" spans="1:17" ht="12.75" x14ac:dyDescent="0.2">
      <c r="A78" s="20" t="s">
        <v>13</v>
      </c>
      <c r="B78" s="24">
        <v>1.5224</v>
      </c>
      <c r="C78" s="24">
        <v>1.37225</v>
      </c>
      <c r="D78" s="23">
        <v>-4.2389000000000003E-2</v>
      </c>
      <c r="E78" s="23">
        <v>-3.7893999999999997E-2</v>
      </c>
      <c r="F78" s="23">
        <v>3.3334000000000003E-2</v>
      </c>
      <c r="G78" s="23">
        <v>1.4553E-2</v>
      </c>
      <c r="I78" s="19">
        <v>4</v>
      </c>
      <c r="J78" s="20" t="s">
        <v>96</v>
      </c>
      <c r="K78" s="19" t="e">
        <f t="shared" si="0"/>
        <v>#VALUE!</v>
      </c>
      <c r="L78" s="19"/>
      <c r="N78" s="32" t="s">
        <v>256</v>
      </c>
      <c r="O78" s="32" t="s">
        <v>257</v>
      </c>
      <c r="P78" s="32" t="s">
        <v>258</v>
      </c>
      <c r="Q78" s="33" t="s">
        <v>259</v>
      </c>
    </row>
    <row r="79" spans="1:17" ht="12.75" x14ac:dyDescent="0.2">
      <c r="A79" s="20" t="s">
        <v>14</v>
      </c>
      <c r="B79" s="24">
        <v>2.4817999999999998</v>
      </c>
      <c r="C79" s="23">
        <v>4.3912E-2</v>
      </c>
      <c r="D79" s="23">
        <v>-3.7442999999999997E-2</v>
      </c>
      <c r="E79" s="23">
        <v>-1.8252000000000001E-2</v>
      </c>
      <c r="F79" s="23">
        <v>6.9677000000000003E-2</v>
      </c>
      <c r="G79" s="23">
        <v>4.3676E-2</v>
      </c>
      <c r="I79" s="19">
        <v>16</v>
      </c>
      <c r="J79" s="20" t="s">
        <v>96</v>
      </c>
      <c r="K79" s="19" t="e">
        <f t="shared" si="0"/>
        <v>#VALUE!</v>
      </c>
      <c r="L79" s="19"/>
      <c r="N79" s="32">
        <v>215</v>
      </c>
      <c r="O79" s="32">
        <v>20</v>
      </c>
      <c r="P79" s="20">
        <v>40</v>
      </c>
      <c r="Q79" s="19">
        <v>3.4</v>
      </c>
    </row>
    <row r="80" spans="1:17" ht="12.75" x14ac:dyDescent="0.2">
      <c r="A80" s="20" t="s">
        <v>15</v>
      </c>
      <c r="B80" s="20"/>
      <c r="C80" s="23">
        <v>-1.7666000000000001E-2</v>
      </c>
      <c r="D80" s="23">
        <v>-1.5675000000000001E-2</v>
      </c>
      <c r="E80" s="26">
        <v>-5.2480000000000001E-3</v>
      </c>
      <c r="F80" s="23">
        <v>9.9111000000000005E-2</v>
      </c>
      <c r="G80" s="23">
        <v>6.6031000000000006E-2</v>
      </c>
      <c r="I80" s="19">
        <v>64</v>
      </c>
      <c r="J80" s="30">
        <v>0.1995575</v>
      </c>
      <c r="K80" s="19">
        <f t="shared" si="0"/>
        <v>12.77168</v>
      </c>
      <c r="L80" s="19"/>
    </row>
    <row r="81" spans="1:12" ht="12.75" x14ac:dyDescent="0.2">
      <c r="I81" s="28"/>
      <c r="J81" s="28"/>
      <c r="K81" s="28"/>
      <c r="L81" s="28"/>
    </row>
    <row r="82" spans="1:12" ht="12.75" x14ac:dyDescent="0.2">
      <c r="A82" s="20" t="s">
        <v>75</v>
      </c>
      <c r="B82" s="21">
        <v>1</v>
      </c>
      <c r="C82" s="21">
        <v>2</v>
      </c>
      <c r="D82" s="21">
        <v>3</v>
      </c>
      <c r="E82" s="21">
        <v>4</v>
      </c>
      <c r="F82" s="21">
        <v>5</v>
      </c>
      <c r="G82" s="21">
        <v>6</v>
      </c>
      <c r="H82" s="1"/>
      <c r="I82" s="19"/>
      <c r="J82" s="19" t="s">
        <v>247</v>
      </c>
      <c r="K82" s="19" t="s">
        <v>248</v>
      </c>
      <c r="L82" s="19" t="s">
        <v>246</v>
      </c>
    </row>
    <row r="83" spans="1:12" ht="12.75" x14ac:dyDescent="0.2">
      <c r="A83" s="20" t="s">
        <v>8</v>
      </c>
      <c r="B83" s="22">
        <v>0.72282999999999997</v>
      </c>
      <c r="C83" s="22">
        <v>0.579013</v>
      </c>
      <c r="D83" s="20" t="s">
        <v>96</v>
      </c>
      <c r="E83" s="20" t="s">
        <v>96</v>
      </c>
      <c r="F83" s="22">
        <v>0.162409</v>
      </c>
      <c r="G83" s="23">
        <v>6.4891299999999999E-2</v>
      </c>
      <c r="I83" s="19" t="s">
        <v>251</v>
      </c>
      <c r="J83" s="19">
        <v>3.5082331159574469</v>
      </c>
      <c r="K83" s="19">
        <v>0.53773899999999997</v>
      </c>
      <c r="L83" s="19">
        <f>(K83/J83)*100</f>
        <v>15.32791528459315</v>
      </c>
    </row>
    <row r="84" spans="1:12" ht="12.75" x14ac:dyDescent="0.2">
      <c r="A84" s="20" t="s">
        <v>9</v>
      </c>
      <c r="B84" s="24">
        <v>1.38575</v>
      </c>
      <c r="C84" s="24">
        <v>1.2002200000000001</v>
      </c>
      <c r="D84" s="20" t="s">
        <v>96</v>
      </c>
      <c r="E84" s="20" t="s">
        <v>96</v>
      </c>
      <c r="F84" s="22">
        <v>0.32492700000000002</v>
      </c>
      <c r="G84" s="22">
        <v>0.27763300000000002</v>
      </c>
      <c r="I84" s="19" t="s">
        <v>252</v>
      </c>
      <c r="J84" s="19">
        <v>3.4</v>
      </c>
      <c r="K84" s="19">
        <v>0.30127999999999999</v>
      </c>
      <c r="L84" s="19">
        <f t="shared" ref="L84:L86" si="1">(K84/J84)*100</f>
        <v>8.8611764705882354</v>
      </c>
    </row>
    <row r="85" spans="1:12" ht="12.75" x14ac:dyDescent="0.2">
      <c r="A85" s="20" t="s">
        <v>10</v>
      </c>
      <c r="B85" s="24">
        <v>2.6168999999999998</v>
      </c>
      <c r="C85" s="24">
        <v>2.2148599999999998</v>
      </c>
      <c r="D85" s="20" t="s">
        <v>96</v>
      </c>
      <c r="E85" s="20" t="s">
        <v>96</v>
      </c>
      <c r="F85" s="24">
        <v>1.2767900000000001</v>
      </c>
      <c r="G85" s="24">
        <v>1.01972</v>
      </c>
      <c r="I85" s="19" t="s">
        <v>253</v>
      </c>
      <c r="J85" s="19">
        <v>3.4</v>
      </c>
      <c r="K85" s="19">
        <v>1.148255</v>
      </c>
      <c r="L85" s="19">
        <f t="shared" si="1"/>
        <v>33.772205882352942</v>
      </c>
    </row>
    <row r="86" spans="1:12" ht="12.75" x14ac:dyDescent="0.2">
      <c r="A86" s="20" t="s">
        <v>11</v>
      </c>
      <c r="B86" s="24">
        <v>5.2414500000000004</v>
      </c>
      <c r="C86" s="24">
        <v>4.43424</v>
      </c>
      <c r="D86" s="22">
        <v>0.218392</v>
      </c>
      <c r="E86" s="22">
        <v>0.18072299999999999</v>
      </c>
      <c r="F86" s="24">
        <v>2.2570800000000002</v>
      </c>
      <c r="G86" s="24">
        <v>1.7477</v>
      </c>
      <c r="I86" s="19" t="s">
        <v>254</v>
      </c>
      <c r="J86" s="19">
        <v>3.5868292021276598</v>
      </c>
      <c r="K86" s="19">
        <v>2.0023900000000001</v>
      </c>
      <c r="L86" s="19">
        <f t="shared" si="1"/>
        <v>55.82618762031403</v>
      </c>
    </row>
    <row r="87" spans="1:12" ht="12.75" x14ac:dyDescent="0.2">
      <c r="A87" s="20" t="s">
        <v>12</v>
      </c>
      <c r="B87" s="25">
        <v>10.967700000000001</v>
      </c>
      <c r="C87" s="24">
        <v>9.7265499999999996</v>
      </c>
      <c r="D87" s="23">
        <v>2.58216E-2</v>
      </c>
      <c r="E87" s="26">
        <v>7.19733E-3</v>
      </c>
      <c r="F87" s="23">
        <v>1.6003699999999999E-2</v>
      </c>
      <c r="G87" s="23">
        <v>1.24774E-2</v>
      </c>
      <c r="I87" s="28"/>
      <c r="J87" s="28"/>
      <c r="K87" s="28"/>
      <c r="L87" s="28"/>
    </row>
    <row r="88" spans="1:12" ht="12.75" x14ac:dyDescent="0.2">
      <c r="A88" s="20" t="s">
        <v>13</v>
      </c>
      <c r="B88" s="25">
        <v>21.1128</v>
      </c>
      <c r="C88" s="25">
        <v>18.512499999999999</v>
      </c>
      <c r="D88" s="20" t="s">
        <v>96</v>
      </c>
      <c r="E88" s="20" t="s">
        <v>96</v>
      </c>
      <c r="F88" s="22">
        <v>0.45250800000000002</v>
      </c>
      <c r="G88" s="22">
        <v>0.30810300000000002</v>
      </c>
      <c r="I88" s="28"/>
      <c r="L88" s="28"/>
    </row>
    <row r="89" spans="1:12" ht="12.75" x14ac:dyDescent="0.2">
      <c r="A89" s="20" t="s">
        <v>14</v>
      </c>
      <c r="B89" s="25">
        <v>40.040599999999998</v>
      </c>
      <c r="C89" s="22">
        <v>0.53773899999999997</v>
      </c>
      <c r="D89" s="20" t="s">
        <v>96</v>
      </c>
      <c r="E89" s="23">
        <v>8.5314000000000001E-2</v>
      </c>
      <c r="F89" s="22">
        <v>0.75510600000000005</v>
      </c>
      <c r="G89" s="22">
        <v>0.53581000000000001</v>
      </c>
      <c r="I89" s="28"/>
      <c r="J89" s="36" t="s">
        <v>249</v>
      </c>
      <c r="K89" s="36"/>
      <c r="L89" s="28"/>
    </row>
    <row r="90" spans="1:12" ht="12.75" x14ac:dyDescent="0.2">
      <c r="A90" s="20" t="s">
        <v>15</v>
      </c>
      <c r="B90" s="20"/>
      <c r="C90" s="23">
        <v>8.8819200000000001E-2</v>
      </c>
      <c r="D90" s="22">
        <v>0.10090200000000001</v>
      </c>
      <c r="E90" s="22">
        <v>0.16791200000000001</v>
      </c>
      <c r="F90" s="24">
        <v>1.0177499999999999</v>
      </c>
      <c r="G90" s="22">
        <v>0.72357899999999997</v>
      </c>
      <c r="I90" s="19" t="s">
        <v>243</v>
      </c>
      <c r="J90" s="19" t="s">
        <v>244</v>
      </c>
      <c r="K90" s="19" t="s">
        <v>245</v>
      </c>
      <c r="L90" s="19" t="s">
        <v>246</v>
      </c>
    </row>
    <row r="91" spans="1:12" ht="12.75" x14ac:dyDescent="0.2">
      <c r="I91" s="19">
        <v>1</v>
      </c>
      <c r="J91" s="19">
        <v>1.4240549999999999E-2</v>
      </c>
      <c r="K91" s="19">
        <f>I91*J91</f>
        <v>1.4240549999999999E-2</v>
      </c>
      <c r="L91" s="19"/>
    </row>
    <row r="92" spans="1:12" ht="12.75" x14ac:dyDescent="0.2">
      <c r="A92" s="20" t="s">
        <v>16</v>
      </c>
      <c r="B92" s="21">
        <v>1</v>
      </c>
      <c r="C92" s="21">
        <v>2</v>
      </c>
      <c r="D92" s="21">
        <v>3</v>
      </c>
      <c r="E92" s="21">
        <v>4</v>
      </c>
      <c r="F92" s="21">
        <v>5</v>
      </c>
      <c r="G92" s="21">
        <v>6</v>
      </c>
      <c r="H92" s="1"/>
      <c r="I92" s="19">
        <v>2</v>
      </c>
      <c r="J92" s="19">
        <v>1.6509465000000001E-2</v>
      </c>
      <c r="K92" s="19">
        <f t="shared" ref="K92:K95" si="2">I92*J92</f>
        <v>3.3018930000000002E-2</v>
      </c>
      <c r="L92" s="19"/>
    </row>
    <row r="93" spans="1:12" ht="12.75" x14ac:dyDescent="0.2">
      <c r="A93" s="20" t="s">
        <v>8</v>
      </c>
      <c r="B93" s="20" t="s">
        <v>222</v>
      </c>
      <c r="C93" s="20" t="s">
        <v>222</v>
      </c>
      <c r="D93" s="20" t="s">
        <v>224</v>
      </c>
      <c r="E93" s="20" t="s">
        <v>224</v>
      </c>
      <c r="F93" s="20" t="s">
        <v>232</v>
      </c>
      <c r="G93" s="20" t="s">
        <v>232</v>
      </c>
      <c r="I93" s="19">
        <v>4</v>
      </c>
      <c r="J93" s="19" t="s">
        <v>250</v>
      </c>
      <c r="K93" s="19" t="e">
        <f t="shared" si="2"/>
        <v>#VALUE!</v>
      </c>
      <c r="L93" s="19"/>
    </row>
    <row r="94" spans="1:12" ht="12.75" x14ac:dyDescent="0.2">
      <c r="A94" s="20" t="s">
        <v>9</v>
      </c>
      <c r="B94" s="20" t="s">
        <v>221</v>
      </c>
      <c r="C94" s="20" t="s">
        <v>221</v>
      </c>
      <c r="D94" s="20" t="s">
        <v>225</v>
      </c>
      <c r="E94" s="20" t="s">
        <v>225</v>
      </c>
      <c r="F94" s="19" t="s">
        <v>235</v>
      </c>
      <c r="G94" s="19" t="s">
        <v>235</v>
      </c>
      <c r="I94" s="19">
        <v>16</v>
      </c>
      <c r="J94" s="19">
        <v>8.5314000000000001E-2</v>
      </c>
      <c r="K94" s="19">
        <f t="shared" si="2"/>
        <v>1.365024</v>
      </c>
      <c r="L94" s="19"/>
    </row>
    <row r="95" spans="1:12" ht="12.75" x14ac:dyDescent="0.2">
      <c r="A95" s="20" t="s">
        <v>10</v>
      </c>
      <c r="B95" s="20" t="s">
        <v>220</v>
      </c>
      <c r="C95" s="20" t="s">
        <v>220</v>
      </c>
      <c r="D95" s="20" t="s">
        <v>226</v>
      </c>
      <c r="E95" s="20" t="s">
        <v>226</v>
      </c>
      <c r="F95" s="19" t="s">
        <v>237</v>
      </c>
      <c r="G95" s="19" t="s">
        <v>237</v>
      </c>
      <c r="I95" s="19">
        <v>64</v>
      </c>
      <c r="J95" s="19">
        <v>0.134407</v>
      </c>
      <c r="K95" s="19">
        <f t="shared" si="2"/>
        <v>8.6020479999999999</v>
      </c>
      <c r="L95" s="19"/>
    </row>
    <row r="96" spans="1:12" ht="12.75" x14ac:dyDescent="0.2">
      <c r="A96" s="20" t="s">
        <v>11</v>
      </c>
      <c r="B96" s="20" t="s">
        <v>219</v>
      </c>
      <c r="C96" s="20" t="s">
        <v>219</v>
      </c>
      <c r="D96" s="20" t="s">
        <v>227</v>
      </c>
      <c r="E96" s="20" t="s">
        <v>227</v>
      </c>
      <c r="F96" s="19" t="s">
        <v>236</v>
      </c>
      <c r="G96" s="19" t="s">
        <v>236</v>
      </c>
      <c r="I96" s="28"/>
      <c r="J96" s="28"/>
      <c r="K96" s="28"/>
      <c r="L96" s="28"/>
    </row>
    <row r="97" spans="1:12" ht="12.75" x14ac:dyDescent="0.2">
      <c r="A97" s="20" t="s">
        <v>12</v>
      </c>
      <c r="B97" s="20" t="s">
        <v>218</v>
      </c>
      <c r="C97" s="20" t="s">
        <v>218</v>
      </c>
      <c r="D97" s="20" t="s">
        <v>228</v>
      </c>
      <c r="E97" s="20" t="s">
        <v>228</v>
      </c>
      <c r="F97" s="20" t="s">
        <v>241</v>
      </c>
      <c r="G97" s="20" t="s">
        <v>241</v>
      </c>
      <c r="I97" s="19"/>
      <c r="J97" s="19" t="s">
        <v>247</v>
      </c>
      <c r="K97" s="19" t="s">
        <v>248</v>
      </c>
      <c r="L97" s="19" t="s">
        <v>246</v>
      </c>
    </row>
    <row r="98" spans="1:12" ht="12.75" x14ac:dyDescent="0.2">
      <c r="A98" s="20" t="s">
        <v>13</v>
      </c>
      <c r="B98" s="20" t="s">
        <v>217</v>
      </c>
      <c r="C98" s="20" t="s">
        <v>217</v>
      </c>
      <c r="D98" s="20" t="s">
        <v>229</v>
      </c>
      <c r="E98" s="20" t="s">
        <v>229</v>
      </c>
      <c r="F98" s="19" t="s">
        <v>238</v>
      </c>
      <c r="G98" s="19" t="s">
        <v>238</v>
      </c>
      <c r="I98" s="19" t="s">
        <v>262</v>
      </c>
      <c r="J98" s="19">
        <v>3.4172839074468087</v>
      </c>
      <c r="K98" s="29">
        <v>8.8819200000000001E-2</v>
      </c>
      <c r="L98" s="19">
        <f>(K98/J98)*100</f>
        <v>2.5991167958403674</v>
      </c>
    </row>
    <row r="99" spans="1:12" ht="12.75" x14ac:dyDescent="0.2">
      <c r="A99" s="20" t="s">
        <v>14</v>
      </c>
      <c r="B99" s="20" t="s">
        <v>216</v>
      </c>
      <c r="C99" s="19" t="s">
        <v>233</v>
      </c>
      <c r="D99" s="20" t="s">
        <v>230</v>
      </c>
      <c r="E99" s="20" t="s">
        <v>230</v>
      </c>
      <c r="F99" s="19" t="s">
        <v>239</v>
      </c>
      <c r="G99" s="19" t="s">
        <v>239</v>
      </c>
      <c r="I99" s="19" t="s">
        <v>263</v>
      </c>
      <c r="J99" s="19">
        <v>3.4</v>
      </c>
      <c r="K99" s="19">
        <v>0.38030550000000002</v>
      </c>
      <c r="L99" s="19">
        <f>(K99/J99)*100</f>
        <v>11.185455882352942</v>
      </c>
    </row>
    <row r="100" spans="1:12" ht="12.75" x14ac:dyDescent="0.2">
      <c r="A100" s="20" t="s">
        <v>15</v>
      </c>
      <c r="B100" s="20" t="s">
        <v>223</v>
      </c>
      <c r="C100" s="19" t="s">
        <v>234</v>
      </c>
      <c r="D100" s="20" t="s">
        <v>231</v>
      </c>
      <c r="E100" s="20" t="s">
        <v>231</v>
      </c>
      <c r="F100" s="19" t="s">
        <v>240</v>
      </c>
      <c r="G100" s="19" t="s">
        <v>240</v>
      </c>
      <c r="I100" s="19" t="s">
        <v>264</v>
      </c>
      <c r="J100" s="19">
        <v>3.4823085531914892</v>
      </c>
      <c r="K100" s="19">
        <v>0.64545800000000009</v>
      </c>
      <c r="L100" s="19">
        <f t="shared" ref="L100:L101" si="3">(K100/J100)*100</f>
        <v>18.535347748218534</v>
      </c>
    </row>
    <row r="101" spans="1:12" ht="15" customHeight="1" x14ac:dyDescent="0.2">
      <c r="I101" s="19" t="s">
        <v>265</v>
      </c>
      <c r="J101" s="19">
        <v>3.5272234255319148</v>
      </c>
      <c r="K101" s="19">
        <v>0.87066449999999995</v>
      </c>
      <c r="L101" s="19">
        <f t="shared" si="3"/>
        <v>24.684132388599721</v>
      </c>
    </row>
    <row r="102" spans="1:12" ht="12.75" x14ac:dyDescent="0.2">
      <c r="A102" t="s">
        <v>97</v>
      </c>
    </row>
    <row r="103" spans="1:12" ht="15" customHeight="1" x14ac:dyDescent="0.2">
      <c r="E103" s="34" t="s">
        <v>260</v>
      </c>
      <c r="F103" s="34"/>
    </row>
    <row r="104" spans="1:12" ht="15" customHeight="1" x14ac:dyDescent="0.2">
      <c r="E104" s="35" t="s">
        <v>261</v>
      </c>
      <c r="F104" s="35"/>
    </row>
  </sheetData>
  <mergeCells count="3">
    <mergeCell ref="J74:K74"/>
    <mergeCell ref="J89:K89"/>
    <mergeCell ref="N77:Q7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103</v>
      </c>
    </row>
    <row r="3" spans="1:5" ht="15" customHeight="1" x14ac:dyDescent="0.2">
      <c r="B3" t="s">
        <v>104</v>
      </c>
      <c r="E3" t="s">
        <v>105</v>
      </c>
    </row>
    <row r="4" spans="1:5" ht="15" customHeight="1" x14ac:dyDescent="0.2">
      <c r="B4" t="s">
        <v>106</v>
      </c>
      <c r="E4" t="s">
        <v>107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108</v>
      </c>
    </row>
    <row r="3" spans="1:5" ht="15" customHeight="1" x14ac:dyDescent="0.2">
      <c r="B3" t="s">
        <v>109</v>
      </c>
      <c r="E3" t="s">
        <v>1</v>
      </c>
    </row>
    <row r="4" spans="1:5" ht="15" customHeight="1" x14ac:dyDescent="0.2">
      <c r="B4" t="s">
        <v>110</v>
      </c>
      <c r="E4" t="s">
        <v>111</v>
      </c>
    </row>
    <row r="5" spans="1:5" ht="15" customHeight="1" x14ac:dyDescent="0.2">
      <c r="B5" t="s">
        <v>112</v>
      </c>
      <c r="E5" t="s">
        <v>113</v>
      </c>
    </row>
    <row r="6" spans="1:5" ht="15" customHeight="1" x14ac:dyDescent="0.2">
      <c r="B6" t="s">
        <v>114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115</v>
      </c>
    </row>
    <row r="3" spans="1:5" ht="15" customHeight="1" x14ac:dyDescent="0.2">
      <c r="B3" t="s">
        <v>116</v>
      </c>
      <c r="E3" t="s">
        <v>117</v>
      </c>
    </row>
    <row r="4" spans="1:5" ht="15" customHeight="1" x14ac:dyDescent="0.2">
      <c r="B4" t="s">
        <v>118</v>
      </c>
      <c r="E4" t="s">
        <v>119</v>
      </c>
    </row>
    <row r="5" spans="1:5" ht="15" customHeight="1" x14ac:dyDescent="0.2">
      <c r="B5" t="s">
        <v>120</v>
      </c>
      <c r="E5" t="s">
        <v>121</v>
      </c>
    </row>
    <row r="6" spans="1:5" ht="15" customHeight="1" x14ac:dyDescent="0.2">
      <c r="B6" t="s">
        <v>122</v>
      </c>
      <c r="E6" t="s">
        <v>123</v>
      </c>
    </row>
    <row r="8" spans="1:5" ht="15" customHeight="1" x14ac:dyDescent="0.2">
      <c r="B8" t="s">
        <v>124</v>
      </c>
    </row>
    <row r="10" spans="1:5" ht="15" customHeight="1" x14ac:dyDescent="0.2">
      <c r="B10" t="s">
        <v>125</v>
      </c>
    </row>
    <row r="11" spans="1:5" ht="15" customHeight="1" x14ac:dyDescent="0.2">
      <c r="C11" t="s">
        <v>126</v>
      </c>
      <c r="E11" t="s">
        <v>127</v>
      </c>
    </row>
    <row r="12" spans="1:5" ht="15" customHeight="1" x14ac:dyDescent="0.2">
      <c r="C12" t="s">
        <v>116</v>
      </c>
      <c r="E12" t="s">
        <v>128</v>
      </c>
    </row>
    <row r="13" spans="1:5" ht="15" customHeight="1" x14ac:dyDescent="0.2">
      <c r="C13" t="s">
        <v>129</v>
      </c>
      <c r="E13" t="s">
        <v>130</v>
      </c>
    </row>
    <row r="14" spans="1:5" ht="15" customHeight="1" x14ac:dyDescent="0.2">
      <c r="C14" t="s">
        <v>131</v>
      </c>
      <c r="E14" t="s">
        <v>132</v>
      </c>
    </row>
    <row r="15" spans="1:5" ht="15" customHeight="1" x14ac:dyDescent="0.2">
      <c r="C15" t="s">
        <v>133</v>
      </c>
      <c r="E15" t="s">
        <v>134</v>
      </c>
    </row>
    <row r="16" spans="1:5" ht="15" customHeight="1" x14ac:dyDescent="0.2">
      <c r="C16" t="s">
        <v>135</v>
      </c>
      <c r="E16" t="s">
        <v>136</v>
      </c>
    </row>
    <row r="18" spans="2:5" ht="15" customHeight="1" x14ac:dyDescent="0.2">
      <c r="B18" t="s">
        <v>125</v>
      </c>
    </row>
    <row r="19" spans="2:5" ht="15" customHeight="1" x14ac:dyDescent="0.2">
      <c r="C19" t="s">
        <v>126</v>
      </c>
      <c r="E19" t="s">
        <v>137</v>
      </c>
    </row>
    <row r="20" spans="2:5" ht="15" customHeight="1" x14ac:dyDescent="0.2">
      <c r="C20" t="s">
        <v>116</v>
      </c>
      <c r="E20" t="s">
        <v>138</v>
      </c>
    </row>
    <row r="21" spans="2:5" ht="15" customHeight="1" x14ac:dyDescent="0.2">
      <c r="C21" t="s">
        <v>129</v>
      </c>
      <c r="E21" t="s">
        <v>139</v>
      </c>
    </row>
    <row r="22" spans="2:5" ht="15" customHeight="1" x14ac:dyDescent="0.2">
      <c r="C22" t="s">
        <v>131</v>
      </c>
      <c r="E22" t="s">
        <v>140</v>
      </c>
    </row>
    <row r="23" spans="2:5" ht="15" customHeight="1" x14ac:dyDescent="0.2">
      <c r="C23" t="s">
        <v>133</v>
      </c>
      <c r="E23" t="s">
        <v>134</v>
      </c>
    </row>
    <row r="24" spans="2:5" ht="15" customHeight="1" x14ac:dyDescent="0.2">
      <c r="C24" t="s">
        <v>135</v>
      </c>
      <c r="E24" t="s">
        <v>136</v>
      </c>
    </row>
    <row r="26" spans="2:5" ht="15" customHeight="1" x14ac:dyDescent="0.2">
      <c r="B26" t="s">
        <v>125</v>
      </c>
    </row>
    <row r="27" spans="2:5" ht="15" customHeight="1" x14ac:dyDescent="0.2">
      <c r="C27" t="s">
        <v>126</v>
      </c>
      <c r="E27" t="s">
        <v>141</v>
      </c>
    </row>
    <row r="28" spans="2:5" ht="15" customHeight="1" x14ac:dyDescent="0.2">
      <c r="C28" t="s">
        <v>116</v>
      </c>
      <c r="E28" t="s">
        <v>142</v>
      </c>
    </row>
    <row r="29" spans="2:5" ht="15" customHeight="1" x14ac:dyDescent="0.2">
      <c r="C29" t="s">
        <v>129</v>
      </c>
      <c r="E29" t="s">
        <v>143</v>
      </c>
    </row>
    <row r="30" spans="2:5" ht="15" customHeight="1" x14ac:dyDescent="0.2">
      <c r="C30" t="s">
        <v>131</v>
      </c>
      <c r="E30" t="s">
        <v>140</v>
      </c>
    </row>
    <row r="31" spans="2:5" ht="15" customHeight="1" x14ac:dyDescent="0.2">
      <c r="C31" t="s">
        <v>133</v>
      </c>
      <c r="E31" t="s">
        <v>134</v>
      </c>
    </row>
    <row r="32" spans="2:5" ht="15" customHeight="1" x14ac:dyDescent="0.2">
      <c r="C32" t="s">
        <v>135</v>
      </c>
      <c r="E32" t="s">
        <v>136</v>
      </c>
    </row>
    <row r="34" spans="2:5" ht="15" customHeight="1" x14ac:dyDescent="0.2">
      <c r="B34" t="s">
        <v>144</v>
      </c>
    </row>
    <row r="35" spans="2:5" ht="15" customHeight="1" x14ac:dyDescent="0.2">
      <c r="C35" t="s">
        <v>145</v>
      </c>
      <c r="E35" t="s">
        <v>146</v>
      </c>
    </row>
    <row r="36" spans="2:5" ht="15" customHeight="1" x14ac:dyDescent="0.2">
      <c r="C36" t="s">
        <v>116</v>
      </c>
      <c r="E36" t="s">
        <v>147</v>
      </c>
    </row>
    <row r="37" spans="2:5" ht="15" customHeight="1" x14ac:dyDescent="0.2">
      <c r="C37" t="s">
        <v>148</v>
      </c>
      <c r="E37" t="s">
        <v>149</v>
      </c>
    </row>
    <row r="38" spans="2:5" ht="15" customHeight="1" x14ac:dyDescent="0.2">
      <c r="C38" t="s">
        <v>131</v>
      </c>
      <c r="E38" t="s">
        <v>150</v>
      </c>
    </row>
    <row r="39" spans="2:5" ht="12.75" x14ac:dyDescent="0.2">
      <c r="C39" t="s">
        <v>133</v>
      </c>
      <c r="E39" t="s">
        <v>134</v>
      </c>
    </row>
    <row r="40" spans="2:5" ht="12.75" x14ac:dyDescent="0.2">
      <c r="C40" t="s">
        <v>135</v>
      </c>
      <c r="E40" t="s">
        <v>136</v>
      </c>
    </row>
    <row r="41" spans="2:5" ht="12.75" x14ac:dyDescent="0.2"/>
    <row r="42" spans="2:5" ht="12.75" x14ac:dyDescent="0.2">
      <c r="B42" t="s">
        <v>144</v>
      </c>
    </row>
    <row r="43" spans="2:5" ht="12.75" x14ac:dyDescent="0.2">
      <c r="C43" t="s">
        <v>145</v>
      </c>
      <c r="E43" t="s">
        <v>151</v>
      </c>
    </row>
    <row r="44" spans="2:5" ht="12.75" x14ac:dyDescent="0.2">
      <c r="C44" t="s">
        <v>116</v>
      </c>
      <c r="E44" t="s">
        <v>152</v>
      </c>
    </row>
    <row r="45" spans="2:5" ht="12.75" x14ac:dyDescent="0.2">
      <c r="C45" t="s">
        <v>148</v>
      </c>
      <c r="E45" t="s">
        <v>153</v>
      </c>
    </row>
    <row r="46" spans="2:5" ht="12.75" x14ac:dyDescent="0.2">
      <c r="C46" t="s">
        <v>131</v>
      </c>
      <c r="E46" t="s">
        <v>140</v>
      </c>
    </row>
    <row r="47" spans="2:5" ht="12.75" x14ac:dyDescent="0.2">
      <c r="C47" t="s">
        <v>133</v>
      </c>
      <c r="E47" t="s">
        <v>134</v>
      </c>
    </row>
    <row r="48" spans="2:5" ht="12.75" x14ac:dyDescent="0.2">
      <c r="C48" t="s">
        <v>135</v>
      </c>
      <c r="E48" t="s">
        <v>136</v>
      </c>
    </row>
    <row r="49" spans="2:5" ht="12.75" x14ac:dyDescent="0.2"/>
    <row r="50" spans="2:5" ht="12.75" x14ac:dyDescent="0.2">
      <c r="B50" t="s">
        <v>144</v>
      </c>
    </row>
    <row r="51" spans="2:5" ht="12.75" x14ac:dyDescent="0.2">
      <c r="C51" t="s">
        <v>145</v>
      </c>
      <c r="E51" t="s">
        <v>154</v>
      </c>
    </row>
    <row r="52" spans="2:5" ht="12.75" x14ac:dyDescent="0.2">
      <c r="C52" t="s">
        <v>116</v>
      </c>
      <c r="E52" t="s">
        <v>155</v>
      </c>
    </row>
    <row r="53" spans="2:5" ht="12.75" x14ac:dyDescent="0.2">
      <c r="C53" t="s">
        <v>148</v>
      </c>
      <c r="E53" t="s">
        <v>156</v>
      </c>
    </row>
    <row r="54" spans="2:5" ht="12.75" x14ac:dyDescent="0.2">
      <c r="C54" t="s">
        <v>131</v>
      </c>
      <c r="E54" t="s">
        <v>157</v>
      </c>
    </row>
    <row r="55" spans="2:5" ht="12.75" x14ac:dyDescent="0.2">
      <c r="C55" t="s">
        <v>133</v>
      </c>
      <c r="E55" t="s">
        <v>134</v>
      </c>
    </row>
    <row r="56" spans="2:5" ht="12.75" x14ac:dyDescent="0.2">
      <c r="C56" t="s">
        <v>135</v>
      </c>
      <c r="E56" t="s">
        <v>136</v>
      </c>
    </row>
    <row r="57" spans="2:5" ht="12.75" x14ac:dyDescent="0.2"/>
    <row r="58" spans="2:5" ht="12.75" x14ac:dyDescent="0.2">
      <c r="B58" t="s">
        <v>158</v>
      </c>
    </row>
    <row r="59" spans="2:5" ht="12.75" x14ac:dyDescent="0.2">
      <c r="C59" t="s">
        <v>116</v>
      </c>
      <c r="E59" t="s">
        <v>159</v>
      </c>
    </row>
    <row r="60" spans="2:5" ht="12.75" x14ac:dyDescent="0.2">
      <c r="C60" t="s">
        <v>126</v>
      </c>
      <c r="E60" t="s">
        <v>127</v>
      </c>
    </row>
    <row r="61" spans="2:5" ht="12.75" x14ac:dyDescent="0.2">
      <c r="C61" t="s">
        <v>116</v>
      </c>
      <c r="E61" t="s">
        <v>128</v>
      </c>
    </row>
    <row r="62" spans="2:5" ht="12.75" x14ac:dyDescent="0.2">
      <c r="C62" t="s">
        <v>129</v>
      </c>
      <c r="E62" t="s">
        <v>130</v>
      </c>
    </row>
    <row r="63" spans="2:5" ht="12.75" x14ac:dyDescent="0.2">
      <c r="C63" t="s">
        <v>145</v>
      </c>
      <c r="E63" t="s">
        <v>146</v>
      </c>
    </row>
    <row r="64" spans="2:5" ht="12.75" x14ac:dyDescent="0.2">
      <c r="C64" t="s">
        <v>116</v>
      </c>
      <c r="E64" t="s">
        <v>147</v>
      </c>
    </row>
    <row r="65" spans="2:5" ht="12.75" x14ac:dyDescent="0.2">
      <c r="C65" t="s">
        <v>148</v>
      </c>
      <c r="E65" t="s">
        <v>149</v>
      </c>
    </row>
    <row r="66" spans="2:5" ht="12.75" x14ac:dyDescent="0.2">
      <c r="C66" t="s">
        <v>133</v>
      </c>
      <c r="E66" t="s">
        <v>134</v>
      </c>
    </row>
    <row r="67" spans="2:5" ht="12.75" x14ac:dyDescent="0.2">
      <c r="C67" t="s">
        <v>160</v>
      </c>
      <c r="E67" t="s">
        <v>161</v>
      </c>
    </row>
    <row r="68" spans="2:5" ht="12.75" x14ac:dyDescent="0.2"/>
    <row r="69" spans="2:5" ht="12.75" x14ac:dyDescent="0.2">
      <c r="B69" t="s">
        <v>158</v>
      </c>
    </row>
    <row r="70" spans="2:5" ht="12.75" x14ac:dyDescent="0.2">
      <c r="C70" t="s">
        <v>116</v>
      </c>
      <c r="E70" t="s">
        <v>162</v>
      </c>
    </row>
    <row r="71" spans="2:5" ht="12.75" x14ac:dyDescent="0.2">
      <c r="C71" t="s">
        <v>126</v>
      </c>
      <c r="E71" t="s">
        <v>137</v>
      </c>
    </row>
    <row r="72" spans="2:5" ht="12.75" x14ac:dyDescent="0.2">
      <c r="C72" t="s">
        <v>116</v>
      </c>
      <c r="E72" t="s">
        <v>138</v>
      </c>
    </row>
    <row r="73" spans="2:5" ht="12.75" x14ac:dyDescent="0.2">
      <c r="C73" t="s">
        <v>129</v>
      </c>
      <c r="E73" t="s">
        <v>139</v>
      </c>
    </row>
    <row r="74" spans="2:5" ht="12.75" x14ac:dyDescent="0.2">
      <c r="C74" t="s">
        <v>145</v>
      </c>
      <c r="E74" t="s">
        <v>151</v>
      </c>
    </row>
    <row r="75" spans="2:5" ht="12.75" x14ac:dyDescent="0.2">
      <c r="C75" t="s">
        <v>116</v>
      </c>
      <c r="E75" t="s">
        <v>152</v>
      </c>
    </row>
    <row r="76" spans="2:5" ht="12.75" x14ac:dyDescent="0.2">
      <c r="C76" t="s">
        <v>148</v>
      </c>
      <c r="E76" t="s">
        <v>153</v>
      </c>
    </row>
    <row r="77" spans="2:5" ht="12.75" x14ac:dyDescent="0.2">
      <c r="C77" t="s">
        <v>133</v>
      </c>
      <c r="E77" t="s">
        <v>134</v>
      </c>
    </row>
    <row r="78" spans="2:5" ht="12.75" x14ac:dyDescent="0.2">
      <c r="C78" t="s">
        <v>160</v>
      </c>
      <c r="E78" t="s">
        <v>161</v>
      </c>
    </row>
    <row r="79" spans="2:5" ht="12.75" x14ac:dyDescent="0.2"/>
    <row r="80" spans="2:5" ht="12.75" x14ac:dyDescent="0.2">
      <c r="B80" t="s">
        <v>158</v>
      </c>
    </row>
    <row r="81" spans="3:5" ht="12.75" x14ac:dyDescent="0.2">
      <c r="C81" t="s">
        <v>116</v>
      </c>
      <c r="E81" t="s">
        <v>163</v>
      </c>
    </row>
    <row r="82" spans="3:5" ht="12.75" x14ac:dyDescent="0.2">
      <c r="C82" t="s">
        <v>126</v>
      </c>
      <c r="E82" t="s">
        <v>141</v>
      </c>
    </row>
    <row r="83" spans="3:5" ht="12.75" x14ac:dyDescent="0.2">
      <c r="C83" t="s">
        <v>116</v>
      </c>
      <c r="E83" t="s">
        <v>142</v>
      </c>
    </row>
    <row r="84" spans="3:5" ht="12.75" x14ac:dyDescent="0.2">
      <c r="C84" t="s">
        <v>129</v>
      </c>
      <c r="E84" t="s">
        <v>143</v>
      </c>
    </row>
    <row r="85" spans="3:5" ht="12.75" x14ac:dyDescent="0.2">
      <c r="C85" t="s">
        <v>145</v>
      </c>
      <c r="E85" t="s">
        <v>154</v>
      </c>
    </row>
    <row r="86" spans="3:5" ht="12.75" x14ac:dyDescent="0.2">
      <c r="C86" t="s">
        <v>116</v>
      </c>
      <c r="E86" t="s">
        <v>155</v>
      </c>
    </row>
    <row r="87" spans="3:5" ht="12.75" x14ac:dyDescent="0.2">
      <c r="C87" t="s">
        <v>148</v>
      </c>
      <c r="E87" t="s">
        <v>156</v>
      </c>
    </row>
    <row r="88" spans="3:5" ht="12.75" x14ac:dyDescent="0.2">
      <c r="C88" t="s">
        <v>133</v>
      </c>
      <c r="E88" t="s">
        <v>134</v>
      </c>
    </row>
    <row r="89" spans="3:5" ht="12.75" x14ac:dyDescent="0.2">
      <c r="C89" t="s">
        <v>160</v>
      </c>
      <c r="E89" t="s">
        <v>161</v>
      </c>
    </row>
    <row r="90" spans="3:5" ht="12.75" x14ac:dyDescent="0.2"/>
    <row r="91" spans="3:5" ht="12.75" x14ac:dyDescent="0.2">
      <c r="C91" t="s">
        <v>164</v>
      </c>
      <c r="E91" t="s">
        <v>134</v>
      </c>
    </row>
    <row r="92" spans="3:5" ht="12.75" x14ac:dyDescent="0.2">
      <c r="C92" t="s">
        <v>165</v>
      </c>
      <c r="E92" t="s">
        <v>166</v>
      </c>
    </row>
    <row r="93" spans="3:5" ht="12.75" x14ac:dyDescent="0.2">
      <c r="C93" t="s">
        <v>167</v>
      </c>
      <c r="E93" t="s">
        <v>134</v>
      </c>
    </row>
    <row r="94" spans="3:5" ht="12.75" x14ac:dyDescent="0.2">
      <c r="C94" t="s">
        <v>168</v>
      </c>
      <c r="E94" t="s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169</v>
      </c>
    </row>
    <row r="3" spans="1:5" ht="15" customHeight="1" x14ac:dyDescent="0.2">
      <c r="B3" t="s">
        <v>170</v>
      </c>
      <c r="E3" t="s">
        <v>161</v>
      </c>
    </row>
    <row r="4" spans="1:5" ht="15" customHeight="1" x14ac:dyDescent="0.2">
      <c r="B4" t="s">
        <v>171</v>
      </c>
      <c r="E4" t="s">
        <v>166</v>
      </c>
    </row>
    <row r="5" spans="1:5" ht="15" customHeight="1" x14ac:dyDescent="0.2">
      <c r="B5" t="s">
        <v>172</v>
      </c>
      <c r="E5" t="s">
        <v>166</v>
      </c>
    </row>
    <row r="7" spans="1:5" ht="15" customHeight="1" x14ac:dyDescent="0.2">
      <c r="A7" t="s">
        <v>173</v>
      </c>
    </row>
    <row r="9" spans="1:5" ht="15" customHeight="1" x14ac:dyDescent="0.2">
      <c r="B9" t="s">
        <v>174</v>
      </c>
      <c r="E9" t="s">
        <v>175</v>
      </c>
    </row>
    <row r="10" spans="1:5" ht="15" customHeight="1" x14ac:dyDescent="0.2">
      <c r="B10" t="s">
        <v>176</v>
      </c>
      <c r="E10" t="s">
        <v>177</v>
      </c>
    </row>
    <row r="11" spans="1:5" ht="15" customHeight="1" x14ac:dyDescent="0.2">
      <c r="B11" t="s">
        <v>178</v>
      </c>
      <c r="E11" t="s">
        <v>179</v>
      </c>
    </row>
    <row r="12" spans="1:5" ht="15" customHeight="1" x14ac:dyDescent="0.2">
      <c r="B12" t="s">
        <v>180</v>
      </c>
      <c r="E12" t="s">
        <v>181</v>
      </c>
    </row>
    <row r="14" spans="1:5" ht="15" customHeight="1" x14ac:dyDescent="0.2">
      <c r="A14" t="s">
        <v>4</v>
      </c>
    </row>
    <row r="16" spans="1:5" ht="15" customHeight="1" x14ac:dyDescent="0.2">
      <c r="B16" t="s">
        <v>182</v>
      </c>
      <c r="E16" t="s">
        <v>149</v>
      </c>
    </row>
    <row r="17" spans="2:5" ht="15" customHeight="1" x14ac:dyDescent="0.2">
      <c r="B17" t="s">
        <v>183</v>
      </c>
      <c r="E17" t="s">
        <v>166</v>
      </c>
    </row>
    <row r="18" spans="2:5" ht="15" customHeight="1" x14ac:dyDescent="0.2">
      <c r="B18" t="s">
        <v>184</v>
      </c>
      <c r="E18" t="s">
        <v>185</v>
      </c>
    </row>
    <row r="19" spans="2:5" ht="15" customHeight="1" x14ac:dyDescent="0.2">
      <c r="B19" t="s">
        <v>186</v>
      </c>
      <c r="E19" t="s">
        <v>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57.5703125" customWidth="1"/>
    <col min="4" max="4" width="11.85546875" customWidth="1"/>
  </cols>
  <sheetData>
    <row r="1" spans="1:5" ht="15" customHeight="1" x14ac:dyDescent="0.2">
      <c r="A1" t="s">
        <v>187</v>
      </c>
    </row>
    <row r="3" spans="1:5" ht="15" customHeight="1" x14ac:dyDescent="0.2">
      <c r="B3" s="8" t="s">
        <v>188</v>
      </c>
      <c r="C3" s="8" t="s">
        <v>189</v>
      </c>
      <c r="D3" s="8" t="s">
        <v>190</v>
      </c>
      <c r="E3" s="8"/>
    </row>
    <row r="4" spans="1:5" ht="15" customHeight="1" x14ac:dyDescent="0.2">
      <c r="B4" t="s">
        <v>2</v>
      </c>
      <c r="C4" t="s">
        <v>191</v>
      </c>
    </row>
    <row r="5" spans="1:5" ht="15" customHeight="1" x14ac:dyDescent="0.2">
      <c r="B5" t="s">
        <v>192</v>
      </c>
      <c r="C5" t="s">
        <v>193</v>
      </c>
      <c r="D5" t="s">
        <v>194</v>
      </c>
    </row>
    <row r="6" spans="1:5" ht="15" customHeight="1" x14ac:dyDescent="0.2">
      <c r="B6" t="s">
        <v>192</v>
      </c>
      <c r="C6" t="s">
        <v>195</v>
      </c>
    </row>
    <row r="7" spans="1:5" ht="15" customHeight="1" x14ac:dyDescent="0.2">
      <c r="B7" t="s">
        <v>196</v>
      </c>
      <c r="C7" t="s">
        <v>193</v>
      </c>
      <c r="D7" t="s">
        <v>194</v>
      </c>
    </row>
    <row r="8" spans="1:5" ht="15" customHeight="1" x14ac:dyDescent="0.2">
      <c r="B8" t="s">
        <v>197</v>
      </c>
      <c r="C8" t="s">
        <v>198</v>
      </c>
    </row>
    <row r="9" spans="1:5" ht="15" customHeight="1" x14ac:dyDescent="0.2">
      <c r="B9" t="s">
        <v>197</v>
      </c>
      <c r="C9" t="s">
        <v>199</v>
      </c>
    </row>
    <row r="10" spans="1:5" ht="15" customHeight="1" x14ac:dyDescent="0.2">
      <c r="B10" t="s">
        <v>200</v>
      </c>
      <c r="C10" t="s">
        <v>201</v>
      </c>
    </row>
    <row r="11" spans="1:5" ht="15" customHeight="1" x14ac:dyDescent="0.2">
      <c r="B11" t="s">
        <v>202</v>
      </c>
      <c r="C11" t="s">
        <v>193</v>
      </c>
      <c r="D11" t="s">
        <v>194</v>
      </c>
    </row>
    <row r="12" spans="1:5" ht="15" customHeight="1" x14ac:dyDescent="0.2">
      <c r="B12" t="s">
        <v>203</v>
      </c>
      <c r="C12" t="s">
        <v>204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116</v>
      </c>
      <c r="B1" t="s">
        <v>6</v>
      </c>
    </row>
    <row r="2" spans="1:13" ht="15" customHeight="1" x14ac:dyDescent="0.2">
      <c r="A2" t="s">
        <v>205</v>
      </c>
      <c r="B2" t="s">
        <v>206</v>
      </c>
    </row>
    <row r="4" spans="1:13" ht="15" customHeight="1" x14ac:dyDescent="0.2"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  <c r="L4" s="9">
        <v>11</v>
      </c>
      <c r="M4" s="9">
        <v>12</v>
      </c>
    </row>
    <row r="5" spans="1:13" ht="15" customHeight="1" x14ac:dyDescent="0.2">
      <c r="A5" s="39" t="s">
        <v>8</v>
      </c>
      <c r="B5" s="10" t="s">
        <v>17</v>
      </c>
      <c r="C5" s="10" t="s">
        <v>17</v>
      </c>
      <c r="D5" s="11" t="s">
        <v>18</v>
      </c>
      <c r="E5" s="11" t="s">
        <v>19</v>
      </c>
      <c r="F5" s="11" t="s">
        <v>20</v>
      </c>
      <c r="G5" s="11" t="s">
        <v>21</v>
      </c>
      <c r="H5" s="38"/>
      <c r="I5" s="38"/>
      <c r="J5" s="38"/>
      <c r="K5" s="38"/>
      <c r="L5" s="38"/>
      <c r="M5" s="38"/>
    </row>
    <row r="6" spans="1:13" ht="15" customHeight="1" x14ac:dyDescent="0.2">
      <c r="A6" s="38"/>
      <c r="B6" s="12" t="s">
        <v>207</v>
      </c>
      <c r="C6" s="12" t="s">
        <v>207</v>
      </c>
      <c r="D6" s="13" t="s">
        <v>207</v>
      </c>
      <c r="E6" s="13" t="s">
        <v>207</v>
      </c>
      <c r="F6" s="13" t="s">
        <v>207</v>
      </c>
      <c r="G6" s="13" t="s">
        <v>207</v>
      </c>
      <c r="H6" s="38"/>
      <c r="I6" s="38"/>
      <c r="J6" s="38"/>
      <c r="K6" s="38"/>
      <c r="L6" s="38"/>
      <c r="M6" s="38"/>
    </row>
    <row r="7" spans="1:13" ht="15" customHeight="1" x14ac:dyDescent="0.2">
      <c r="A7" s="38"/>
      <c r="B7" s="14" t="s">
        <v>208</v>
      </c>
      <c r="C7" s="14" t="s">
        <v>208</v>
      </c>
      <c r="D7" s="15" t="s">
        <v>209</v>
      </c>
      <c r="E7" s="15" t="s">
        <v>209</v>
      </c>
      <c r="F7" s="15" t="s">
        <v>209</v>
      </c>
      <c r="G7" s="15" t="s">
        <v>209</v>
      </c>
      <c r="H7" s="38"/>
      <c r="I7" s="38"/>
      <c r="J7" s="38"/>
      <c r="K7" s="38"/>
      <c r="L7" s="38"/>
      <c r="M7" s="38"/>
    </row>
    <row r="8" spans="1:13" ht="15" customHeight="1" x14ac:dyDescent="0.2">
      <c r="A8" s="39" t="s">
        <v>9</v>
      </c>
      <c r="B8" s="10" t="s">
        <v>22</v>
      </c>
      <c r="C8" s="10" t="s">
        <v>22</v>
      </c>
      <c r="D8" s="11" t="s">
        <v>23</v>
      </c>
      <c r="E8" s="11" t="s">
        <v>24</v>
      </c>
      <c r="F8" s="11" t="s">
        <v>25</v>
      </c>
      <c r="G8" s="11" t="s">
        <v>26</v>
      </c>
      <c r="H8" s="38"/>
      <c r="I8" s="38"/>
      <c r="J8" s="38"/>
      <c r="K8" s="38"/>
      <c r="L8" s="38"/>
      <c r="M8" s="38"/>
    </row>
    <row r="9" spans="1:13" ht="15" customHeight="1" x14ac:dyDescent="0.2">
      <c r="A9" s="38"/>
      <c r="B9" s="12" t="s">
        <v>207</v>
      </c>
      <c r="C9" s="12" t="s">
        <v>207</v>
      </c>
      <c r="D9" s="13" t="s">
        <v>207</v>
      </c>
      <c r="E9" s="13" t="s">
        <v>207</v>
      </c>
      <c r="F9" s="13" t="s">
        <v>207</v>
      </c>
      <c r="G9" s="13" t="s">
        <v>207</v>
      </c>
      <c r="H9" s="38"/>
      <c r="I9" s="38"/>
      <c r="J9" s="38"/>
      <c r="K9" s="38"/>
      <c r="L9" s="38"/>
      <c r="M9" s="38"/>
    </row>
    <row r="10" spans="1:13" ht="15" customHeight="1" x14ac:dyDescent="0.2">
      <c r="A10" s="38"/>
      <c r="B10" s="14" t="s">
        <v>210</v>
      </c>
      <c r="C10" s="14" t="s">
        <v>210</v>
      </c>
      <c r="D10" s="15" t="s">
        <v>209</v>
      </c>
      <c r="E10" s="15" t="s">
        <v>209</v>
      </c>
      <c r="F10" s="15" t="s">
        <v>209</v>
      </c>
      <c r="G10" s="15" t="s">
        <v>209</v>
      </c>
      <c r="H10" s="38"/>
      <c r="I10" s="38"/>
      <c r="J10" s="38"/>
      <c r="K10" s="38"/>
      <c r="L10" s="38"/>
      <c r="M10" s="38"/>
    </row>
    <row r="11" spans="1:13" ht="15" customHeight="1" x14ac:dyDescent="0.2">
      <c r="A11" s="39" t="s">
        <v>10</v>
      </c>
      <c r="B11" s="10" t="s">
        <v>27</v>
      </c>
      <c r="C11" s="10" t="s">
        <v>27</v>
      </c>
      <c r="D11" s="11" t="s">
        <v>28</v>
      </c>
      <c r="E11" s="11" t="s">
        <v>29</v>
      </c>
      <c r="F11" s="11" t="s">
        <v>30</v>
      </c>
      <c r="G11" s="11" t="s">
        <v>31</v>
      </c>
      <c r="H11" s="38"/>
      <c r="I11" s="38"/>
      <c r="J11" s="38"/>
      <c r="K11" s="38"/>
      <c r="L11" s="38"/>
      <c r="M11" s="38"/>
    </row>
    <row r="12" spans="1:13" ht="15" customHeight="1" x14ac:dyDescent="0.2">
      <c r="A12" s="38"/>
      <c r="B12" s="12" t="s">
        <v>207</v>
      </c>
      <c r="C12" s="12" t="s">
        <v>207</v>
      </c>
      <c r="D12" s="13" t="s">
        <v>207</v>
      </c>
      <c r="E12" s="13" t="s">
        <v>207</v>
      </c>
      <c r="F12" s="13" t="s">
        <v>207</v>
      </c>
      <c r="G12" s="13" t="s">
        <v>207</v>
      </c>
      <c r="H12" s="38"/>
      <c r="I12" s="38"/>
      <c r="J12" s="38"/>
      <c r="K12" s="38"/>
      <c r="L12" s="38"/>
      <c r="M12" s="38"/>
    </row>
    <row r="13" spans="1:13" ht="15" customHeight="1" x14ac:dyDescent="0.2">
      <c r="A13" s="38"/>
      <c r="B13" s="14" t="s">
        <v>211</v>
      </c>
      <c r="C13" s="14" t="s">
        <v>211</v>
      </c>
      <c r="D13" s="15" t="s">
        <v>209</v>
      </c>
      <c r="E13" s="15" t="s">
        <v>209</v>
      </c>
      <c r="F13" s="15" t="s">
        <v>209</v>
      </c>
      <c r="G13" s="15" t="s">
        <v>209</v>
      </c>
      <c r="H13" s="38"/>
      <c r="I13" s="38"/>
      <c r="J13" s="38"/>
      <c r="K13" s="38"/>
      <c r="L13" s="38"/>
      <c r="M13" s="38"/>
    </row>
    <row r="14" spans="1:13" ht="15" customHeight="1" x14ac:dyDescent="0.2">
      <c r="A14" s="39" t="s">
        <v>11</v>
      </c>
      <c r="B14" s="10" t="s">
        <v>32</v>
      </c>
      <c r="C14" s="10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38"/>
      <c r="I14" s="38"/>
      <c r="J14" s="38"/>
      <c r="K14" s="38"/>
      <c r="L14" s="38"/>
      <c r="M14" s="38"/>
    </row>
    <row r="15" spans="1:13" ht="15" customHeight="1" x14ac:dyDescent="0.2">
      <c r="A15" s="38"/>
      <c r="B15" s="12" t="s">
        <v>207</v>
      </c>
      <c r="C15" s="12" t="s">
        <v>207</v>
      </c>
      <c r="D15" s="13" t="s">
        <v>207</v>
      </c>
      <c r="E15" s="13" t="s">
        <v>207</v>
      </c>
      <c r="F15" s="13" t="s">
        <v>207</v>
      </c>
      <c r="G15" s="13" t="s">
        <v>207</v>
      </c>
      <c r="H15" s="38"/>
      <c r="I15" s="38"/>
      <c r="J15" s="38"/>
      <c r="K15" s="38"/>
      <c r="L15" s="38"/>
      <c r="M15" s="38"/>
    </row>
    <row r="16" spans="1:13" ht="15" customHeight="1" x14ac:dyDescent="0.2">
      <c r="A16" s="38"/>
      <c r="B16" s="14" t="s">
        <v>212</v>
      </c>
      <c r="C16" s="14" t="s">
        <v>212</v>
      </c>
      <c r="D16" s="15" t="s">
        <v>209</v>
      </c>
      <c r="E16" s="15" t="s">
        <v>209</v>
      </c>
      <c r="F16" s="15" t="s">
        <v>209</v>
      </c>
      <c r="G16" s="15" t="s">
        <v>209</v>
      </c>
      <c r="H16" s="38"/>
      <c r="I16" s="38"/>
      <c r="J16" s="38"/>
      <c r="K16" s="38"/>
      <c r="L16" s="38"/>
      <c r="M16" s="38"/>
    </row>
    <row r="17" spans="1:13" ht="15" customHeight="1" x14ac:dyDescent="0.2">
      <c r="A17" s="39" t="s">
        <v>12</v>
      </c>
      <c r="B17" s="10" t="s">
        <v>37</v>
      </c>
      <c r="C17" s="10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38"/>
      <c r="I17" s="38"/>
      <c r="J17" s="38"/>
      <c r="K17" s="38"/>
      <c r="L17" s="38"/>
      <c r="M17" s="38"/>
    </row>
    <row r="18" spans="1:13" ht="15" customHeight="1" x14ac:dyDescent="0.2">
      <c r="A18" s="38"/>
      <c r="B18" s="12" t="s">
        <v>207</v>
      </c>
      <c r="C18" s="12" t="s">
        <v>207</v>
      </c>
      <c r="D18" s="13" t="s">
        <v>207</v>
      </c>
      <c r="E18" s="13" t="s">
        <v>207</v>
      </c>
      <c r="F18" s="13" t="s">
        <v>207</v>
      </c>
      <c r="G18" s="13" t="s">
        <v>207</v>
      </c>
      <c r="H18" s="38"/>
      <c r="I18" s="38"/>
      <c r="J18" s="38"/>
      <c r="K18" s="38"/>
      <c r="L18" s="38"/>
      <c r="M18" s="38"/>
    </row>
    <row r="19" spans="1:13" ht="15" customHeight="1" x14ac:dyDescent="0.2">
      <c r="A19" s="38"/>
      <c r="B19" s="14" t="s">
        <v>213</v>
      </c>
      <c r="C19" s="14" t="s">
        <v>213</v>
      </c>
      <c r="D19" s="15" t="s">
        <v>209</v>
      </c>
      <c r="E19" s="15" t="s">
        <v>209</v>
      </c>
      <c r="F19" s="15" t="s">
        <v>209</v>
      </c>
      <c r="G19" s="15" t="s">
        <v>209</v>
      </c>
      <c r="H19" s="38"/>
      <c r="I19" s="38"/>
      <c r="J19" s="38"/>
      <c r="K19" s="38"/>
      <c r="L19" s="38"/>
      <c r="M19" s="38"/>
    </row>
    <row r="20" spans="1:13" ht="15" customHeight="1" x14ac:dyDescent="0.2">
      <c r="A20" s="39" t="s">
        <v>13</v>
      </c>
      <c r="B20" s="10" t="s">
        <v>42</v>
      </c>
      <c r="C20" s="10" t="s">
        <v>42</v>
      </c>
      <c r="D20" s="11" t="s">
        <v>43</v>
      </c>
      <c r="E20" s="11" t="s">
        <v>44</v>
      </c>
      <c r="F20" s="11" t="s">
        <v>45</v>
      </c>
      <c r="G20" s="11" t="s">
        <v>46</v>
      </c>
      <c r="H20" s="38"/>
      <c r="I20" s="38"/>
      <c r="J20" s="38"/>
      <c r="K20" s="38"/>
      <c r="L20" s="38"/>
      <c r="M20" s="38"/>
    </row>
    <row r="21" spans="1:13" ht="15" customHeight="1" x14ac:dyDescent="0.2">
      <c r="A21" s="38"/>
      <c r="B21" s="12" t="s">
        <v>207</v>
      </c>
      <c r="C21" s="12" t="s">
        <v>207</v>
      </c>
      <c r="D21" s="13" t="s">
        <v>207</v>
      </c>
      <c r="E21" s="13" t="s">
        <v>207</v>
      </c>
      <c r="F21" s="13" t="s">
        <v>207</v>
      </c>
      <c r="G21" s="13" t="s">
        <v>207</v>
      </c>
      <c r="H21" s="38"/>
      <c r="I21" s="38"/>
      <c r="J21" s="38"/>
      <c r="K21" s="38"/>
      <c r="L21" s="38"/>
      <c r="M21" s="38"/>
    </row>
    <row r="22" spans="1:13" ht="15" customHeight="1" x14ac:dyDescent="0.2">
      <c r="A22" s="38"/>
      <c r="B22" s="14" t="s">
        <v>214</v>
      </c>
      <c r="C22" s="14" t="s">
        <v>214</v>
      </c>
      <c r="D22" s="15" t="s">
        <v>209</v>
      </c>
      <c r="E22" s="15" t="s">
        <v>209</v>
      </c>
      <c r="F22" s="15" t="s">
        <v>209</v>
      </c>
      <c r="G22" s="15" t="s">
        <v>209</v>
      </c>
      <c r="H22" s="38"/>
      <c r="I22" s="38"/>
      <c r="J22" s="38"/>
      <c r="K22" s="38"/>
      <c r="L22" s="38"/>
      <c r="M22" s="38"/>
    </row>
    <row r="23" spans="1:13" ht="15" customHeight="1" x14ac:dyDescent="0.2">
      <c r="A23" s="39" t="s">
        <v>14</v>
      </c>
      <c r="B23" s="10" t="s">
        <v>47</v>
      </c>
      <c r="C23" s="11" t="s">
        <v>48</v>
      </c>
      <c r="D23" s="11" t="s">
        <v>49</v>
      </c>
      <c r="E23" s="11" t="s">
        <v>50</v>
      </c>
      <c r="F23" s="11" t="s">
        <v>51</v>
      </c>
      <c r="G23" s="11" t="s">
        <v>52</v>
      </c>
      <c r="H23" s="38"/>
      <c r="I23" s="38"/>
      <c r="J23" s="38"/>
      <c r="K23" s="38"/>
      <c r="L23" s="38"/>
      <c r="M23" s="38"/>
    </row>
    <row r="24" spans="1:13" ht="15" customHeight="1" x14ac:dyDescent="0.2">
      <c r="A24" s="38"/>
      <c r="B24" s="12" t="s">
        <v>207</v>
      </c>
      <c r="C24" s="13" t="s">
        <v>207</v>
      </c>
      <c r="D24" s="13" t="s">
        <v>207</v>
      </c>
      <c r="E24" s="13" t="s">
        <v>207</v>
      </c>
      <c r="F24" s="13" t="s">
        <v>207</v>
      </c>
      <c r="G24" s="13" t="s">
        <v>207</v>
      </c>
      <c r="H24" s="38"/>
      <c r="I24" s="38"/>
      <c r="J24" s="38"/>
      <c r="K24" s="38"/>
      <c r="L24" s="38"/>
      <c r="M24" s="38"/>
    </row>
    <row r="25" spans="1:13" ht="15" customHeight="1" x14ac:dyDescent="0.2">
      <c r="A25" s="38"/>
      <c r="B25" s="14" t="s">
        <v>215</v>
      </c>
      <c r="C25" s="15" t="s">
        <v>209</v>
      </c>
      <c r="D25" s="15" t="s">
        <v>209</v>
      </c>
      <c r="E25" s="15" t="s">
        <v>209</v>
      </c>
      <c r="F25" s="15" t="s">
        <v>209</v>
      </c>
      <c r="G25" s="15" t="s">
        <v>209</v>
      </c>
      <c r="H25" s="38"/>
      <c r="I25" s="38"/>
      <c r="J25" s="38"/>
      <c r="K25" s="38"/>
      <c r="L25" s="38"/>
      <c r="M25" s="38"/>
    </row>
    <row r="26" spans="1:13" ht="15" customHeight="1" x14ac:dyDescent="0.2">
      <c r="A26" s="39" t="s">
        <v>15</v>
      </c>
      <c r="B26" s="16" t="s">
        <v>53</v>
      </c>
      <c r="C26" s="11" t="s">
        <v>54</v>
      </c>
      <c r="D26" s="11" t="s">
        <v>55</v>
      </c>
      <c r="E26" s="11" t="s">
        <v>56</v>
      </c>
      <c r="F26" s="11" t="s">
        <v>57</v>
      </c>
      <c r="G26" s="11" t="s">
        <v>58</v>
      </c>
      <c r="H26" s="38"/>
      <c r="I26" s="38"/>
      <c r="J26" s="38"/>
      <c r="K26" s="38"/>
      <c r="L26" s="38"/>
      <c r="M26" s="38"/>
    </row>
    <row r="27" spans="1:13" ht="15" customHeight="1" x14ac:dyDescent="0.2">
      <c r="A27" s="38"/>
      <c r="B27" s="17" t="s">
        <v>207</v>
      </c>
      <c r="C27" s="13" t="s">
        <v>207</v>
      </c>
      <c r="D27" s="13" t="s">
        <v>207</v>
      </c>
      <c r="E27" s="13" t="s">
        <v>207</v>
      </c>
      <c r="F27" s="13" t="s">
        <v>207</v>
      </c>
      <c r="G27" s="13" t="s">
        <v>207</v>
      </c>
      <c r="H27" s="38"/>
      <c r="I27" s="38"/>
      <c r="J27" s="38"/>
      <c r="K27" s="38"/>
      <c r="L27" s="38"/>
      <c r="M27" s="38"/>
    </row>
    <row r="28" spans="1:13" ht="15" customHeight="1" x14ac:dyDescent="0.2">
      <c r="A28" s="38"/>
      <c r="B28" s="18"/>
      <c r="C28" s="15" t="s">
        <v>209</v>
      </c>
      <c r="D28" s="15" t="s">
        <v>209</v>
      </c>
      <c r="E28" s="15" t="s">
        <v>209</v>
      </c>
      <c r="F28" s="15" t="s">
        <v>209</v>
      </c>
      <c r="G28" s="15" t="s">
        <v>209</v>
      </c>
      <c r="H28" s="38"/>
      <c r="I28" s="38"/>
      <c r="J28" s="38"/>
      <c r="K28" s="38"/>
      <c r="L28" s="38"/>
      <c r="M28" s="38"/>
    </row>
    <row r="33" spans="1:1" ht="15" customHeight="1" x14ac:dyDescent="0.2">
      <c r="A33" t="s">
        <v>3</v>
      </c>
    </row>
  </sheetData>
  <mergeCells count="56"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2026-09-10T21:31:46Z</dcterms:created>
  <dcterms:modified xsi:type="dcterms:W3CDTF">2026-10-07T17:10:08Z</dcterms:modified>
</cp:coreProperties>
</file>