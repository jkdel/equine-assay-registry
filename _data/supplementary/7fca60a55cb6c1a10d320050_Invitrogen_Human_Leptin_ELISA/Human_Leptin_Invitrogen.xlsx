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https://mstate-my.sharepoint.com/personal/ma2020_msstate_edu/Documents/Documents 1/ELISA Project/Submit to the equine registry/"/>
    </mc:Choice>
  </mc:AlternateContent>
  <xr:revisionPtr revIDLastSave="322" documentId="13_ncr:1_{88D05292-985B-41EB-9EAF-39D0F98CA9B3}" xr6:coauthVersionLast="47" xr6:coauthVersionMax="47" xr10:uidLastSave="{B688E7F3-6C4D-487E-AA8A-0DF598C6348F}"/>
  <bookViews>
    <workbookView xWindow="-120" yWindow="-120" windowWidth="29040" windowHeight="15720" activeTab="2" xr2:uid="{00000000-000D-0000-FFFF-FFFF00000000}"/>
  </bookViews>
  <sheets>
    <sheet name="First trial_08_27_26 " sheetId="4" r:id="rId1"/>
    <sheet name="Second trial 09_02_26" sheetId="12" r:id="rId2"/>
    <sheet name="Third trial_09_17_26" sheetId="13" r:id="rId3"/>
    <sheet name="Fourth trial _10_02_26" sheetId="11" r:id="rId4"/>
    <sheet name="General information" sheetId="5" r:id="rId5"/>
    <sheet name="Session information" sheetId="6" r:id="rId6"/>
    <sheet name="Instrument information" sheetId="7" r:id="rId7"/>
    <sheet name="Protocol parameters" sheetId="8" r:id="rId8"/>
    <sheet name="Run log" sheetId="9" r:id="rId9"/>
    <sheet name="Layout definitions" sheetId="10" r:id="rId10"/>
  </sheets>
  <calcPr calcId="191029"/>
  <webPublishing codePage="125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6" i="11" l="1"/>
  <c r="L105" i="11"/>
  <c r="L104" i="11"/>
  <c r="L103" i="11"/>
  <c r="L102" i="11"/>
  <c r="L101" i="11"/>
  <c r="L100" i="11"/>
  <c r="L99" i="11"/>
  <c r="L98" i="11"/>
  <c r="L97" i="11"/>
  <c r="L96" i="11"/>
  <c r="L95" i="11"/>
  <c r="K91" i="11"/>
  <c r="K90" i="11"/>
  <c r="K89" i="11"/>
  <c r="K88" i="11"/>
  <c r="K87" i="11"/>
  <c r="K86" i="11"/>
  <c r="M96" i="13"/>
  <c r="M95" i="13"/>
  <c r="M94" i="13"/>
  <c r="M93" i="13"/>
  <c r="M92" i="13"/>
  <c r="M91" i="13"/>
  <c r="M90" i="13"/>
  <c r="M89" i="13"/>
  <c r="M88" i="13"/>
  <c r="L84" i="13"/>
  <c r="L83" i="13"/>
  <c r="L82" i="13"/>
  <c r="L81" i="13"/>
  <c r="L80" i="13"/>
  <c r="L79" i="13"/>
  <c r="L78" i="13"/>
  <c r="L77" i="13"/>
  <c r="L76" i="13"/>
  <c r="L94" i="12"/>
  <c r="L93" i="12"/>
  <c r="L92" i="12"/>
  <c r="L91" i="12"/>
  <c r="L90" i="12"/>
  <c r="L89" i="12"/>
  <c r="L88" i="12"/>
  <c r="L87" i="12"/>
  <c r="L86" i="12"/>
  <c r="L85" i="12"/>
  <c r="L84" i="12"/>
  <c r="K78" i="12"/>
  <c r="K77" i="12"/>
  <c r="K76" i="12"/>
  <c r="K75" i="12"/>
  <c r="K74" i="12"/>
  <c r="L80" i="4"/>
  <c r="M105" i="4"/>
  <c r="M107" i="4"/>
  <c r="M108" i="4"/>
  <c r="M106" i="4"/>
  <c r="M90" i="4"/>
  <c r="M89" i="4"/>
  <c r="M88" i="4"/>
  <c r="M87" i="4"/>
  <c r="L83" i="4"/>
  <c r="L82" i="4"/>
  <c r="L81" i="4"/>
  <c r="L79" i="4"/>
</calcChain>
</file>

<file path=xl/sharedStrings.xml><?xml version="1.0" encoding="utf-8"?>
<sst xmlns="http://schemas.openxmlformats.org/spreadsheetml/2006/main" count="1177" uniqueCount="369">
  <si>
    <t>Measurement results</t>
  </si>
  <si>
    <t>Human_Leptin_Invitrogen_08_28_26_first trial.skax</t>
  </si>
  <si>
    <t>2026-08-28T17:03:20-05:00</t>
  </si>
  <si>
    <t xml:space="preserve"> </t>
  </si>
  <si>
    <t>Absorbance 1</t>
  </si>
  <si>
    <t>Wavelength: 450 nm</t>
  </si>
  <si>
    <t>Plate 1</t>
  </si>
  <si>
    <t>A</t>
  </si>
  <si>
    <t>B</t>
  </si>
  <si>
    <t>C</t>
  </si>
  <si>
    <t>D</t>
  </si>
  <si>
    <t>E</t>
  </si>
  <si>
    <t>F</t>
  </si>
  <si>
    <t>G</t>
  </si>
  <si>
    <t>H</t>
  </si>
  <si>
    <t>Sample</t>
  </si>
  <si>
    <t>Std70001</t>
  </si>
  <si>
    <t>Un0002</t>
  </si>
  <si>
    <t>Un0003</t>
  </si>
  <si>
    <t>Std60001</t>
  </si>
  <si>
    <t>Un0004</t>
  </si>
  <si>
    <t>Un0005</t>
  </si>
  <si>
    <t>Std50001</t>
  </si>
  <si>
    <t>Un0006</t>
  </si>
  <si>
    <t>Un0007</t>
  </si>
  <si>
    <t>Std40001</t>
  </si>
  <si>
    <t>Un0008</t>
  </si>
  <si>
    <t>Un0009</t>
  </si>
  <si>
    <t>Std30001</t>
  </si>
  <si>
    <t>Un0010</t>
  </si>
  <si>
    <t>Un0011</t>
  </si>
  <si>
    <t>Std20001</t>
  </si>
  <si>
    <t>Un0012</t>
  </si>
  <si>
    <t>Un0013</t>
  </si>
  <si>
    <t>Std10001</t>
  </si>
  <si>
    <t>Un0014</t>
  </si>
  <si>
    <t>Un0015</t>
  </si>
  <si>
    <t>Blank1</t>
  </si>
  <si>
    <t>Un0001</t>
  </si>
  <si>
    <t>Un0017</t>
  </si>
  <si>
    <t>Un0016</t>
  </si>
  <si>
    <t>Fit type: 4PL</t>
  </si>
  <si>
    <t>Concentration transformation: Logarithmic</t>
  </si>
  <si>
    <t>Signal transformation: Linear</t>
  </si>
  <si>
    <t>Saved curve: No</t>
  </si>
  <si>
    <t>Sample group: Group 1</t>
  </si>
  <si>
    <t>y = d + ( (a - d) / ( 1 + (x/c)^b) )</t>
  </si>
  <si>
    <t>Where:</t>
  </si>
  <si>
    <t>a =</t>
  </si>
  <si>
    <t>b =</t>
  </si>
  <si>
    <t>c =</t>
  </si>
  <si>
    <t>d =</t>
  </si>
  <si>
    <t>R²: 0.999</t>
  </si>
  <si>
    <t>Well</t>
  </si>
  <si>
    <t>Conc. [ng/mL]</t>
  </si>
  <si>
    <t>Original signal</t>
  </si>
  <si>
    <t>CV%</t>
  </si>
  <si>
    <t>Fitted signal</t>
  </si>
  <si>
    <t>Residual</t>
  </si>
  <si>
    <t>Average</t>
  </si>
  <si>
    <t>G01</t>
  </si>
  <si>
    <t>G02</t>
  </si>
  <si>
    <t>F01</t>
  </si>
  <si>
    <t>F02</t>
  </si>
  <si>
    <t>E01</t>
  </si>
  <si>
    <t>E02</t>
  </si>
  <si>
    <t>D01</t>
  </si>
  <si>
    <t>D02</t>
  </si>
  <si>
    <t>C01</t>
  </si>
  <si>
    <t>C02</t>
  </si>
  <si>
    <t>B01</t>
  </si>
  <si>
    <t>B02</t>
  </si>
  <si>
    <t>A01</t>
  </si>
  <si>
    <t>A02</t>
  </si>
  <si>
    <t>Signal</t>
  </si>
  <si>
    <t xml:space="preserve"> &lt; Min</t>
  </si>
  <si>
    <t>Autoloading range A1 - M101</t>
  </si>
  <si>
    <t>Standard Curve 2</t>
  </si>
  <si>
    <t>y = 9.6309 + ( (0.00941115 - 9.6309) / ( 1 + (x/2670.35)^1.19248) )</t>
  </si>
  <si>
    <t>General information</t>
  </si>
  <si>
    <t>Report generated with SW version</t>
  </si>
  <si>
    <t>SkanIt Software 7.1 RE for Microplate Readers RE, ver. 7.1.0.36</t>
  </si>
  <si>
    <t>Time zone</t>
  </si>
  <si>
    <t>(UTC-06:00) Central Time (US &amp; Canada). Daylight saving time in effect: Offset from UTC is -05:00</t>
  </si>
  <si>
    <t>Session information</t>
  </si>
  <si>
    <t>Session name</t>
  </si>
  <si>
    <t>Session notes</t>
  </si>
  <si>
    <t>Human_Leptin_Invitrogen_08_28_26_first trial</t>
  </si>
  <si>
    <t>Executed with</t>
  </si>
  <si>
    <t>SkanIt Software for Microplate Readers RE, ver 7.1.0.36</t>
  </si>
  <si>
    <t>Execution time</t>
  </si>
  <si>
    <t>Instrument information</t>
  </si>
  <si>
    <t>Name</t>
  </si>
  <si>
    <t>Varioskan ALF</t>
  </si>
  <si>
    <t>ESW version</t>
  </si>
  <si>
    <t>1.00.6</t>
  </si>
  <si>
    <t>Set temperature</t>
  </si>
  <si>
    <t>37.00 °C</t>
  </si>
  <si>
    <t>Serial number</t>
  </si>
  <si>
    <t>3500-00622</t>
  </si>
  <si>
    <t>Instrument modules</t>
  </si>
  <si>
    <t>Excitation filter</t>
  </si>
  <si>
    <t>Excitation filter product number</t>
  </si>
  <si>
    <t>VF34525</t>
  </si>
  <si>
    <t>Blue fluorescence EX</t>
  </si>
  <si>
    <t>Excitation wavelength [nm]</t>
  </si>
  <si>
    <t>345</t>
  </si>
  <si>
    <t>Bandwidth</t>
  </si>
  <si>
    <t>25</t>
  </si>
  <si>
    <t>Permanent</t>
  </si>
  <si>
    <t>Yes</t>
  </si>
  <si>
    <t>Date and time of definition</t>
  </si>
  <si>
    <t>11/13/2025 10:30:00 AM</t>
  </si>
  <si>
    <t>VF48515</t>
  </si>
  <si>
    <t>Green fluorescence EX</t>
  </si>
  <si>
    <t>485</t>
  </si>
  <si>
    <t>15</t>
  </si>
  <si>
    <t>VF55515</t>
  </si>
  <si>
    <t>Orange fluorescence EX</t>
  </si>
  <si>
    <t>555</t>
  </si>
  <si>
    <t>Emission filter</t>
  </si>
  <si>
    <t>Emission filter product number</t>
  </si>
  <si>
    <t>VF45040</t>
  </si>
  <si>
    <t>Blue fluorescence EM</t>
  </si>
  <si>
    <t>Emission wavelength [nm]</t>
  </si>
  <si>
    <t>450</t>
  </si>
  <si>
    <t>40</t>
  </si>
  <si>
    <t>VF52515</t>
  </si>
  <si>
    <t>Green fluorescence EM</t>
  </si>
  <si>
    <t>525</t>
  </si>
  <si>
    <t>VF61545</t>
  </si>
  <si>
    <t>Orange fluorescence EM</t>
  </si>
  <si>
    <t>615</t>
  </si>
  <si>
    <t>45</t>
  </si>
  <si>
    <t>Filter pair</t>
  </si>
  <si>
    <t>Blue fluorescence</t>
  </si>
  <si>
    <t>Scaling factor</t>
  </si>
  <si>
    <t>1</t>
  </si>
  <si>
    <t>Green fluorescence</t>
  </si>
  <si>
    <t>Orange fluorescence</t>
  </si>
  <si>
    <t>Top optics</t>
  </si>
  <si>
    <t>Bottom optics</t>
  </si>
  <si>
    <t>No</t>
  </si>
  <si>
    <t>Photometric monochromator</t>
  </si>
  <si>
    <t>Incubator</t>
  </si>
  <si>
    <t>Protocol parameters</t>
  </si>
  <si>
    <t>Measurement order</t>
  </si>
  <si>
    <t>Check temperature at start [°C]</t>
  </si>
  <si>
    <t>Plate with lid</t>
  </si>
  <si>
    <t>Shake 1</t>
  </si>
  <si>
    <t>Duration [hh:mm:ss]:</t>
  </si>
  <si>
    <t>00:00:20</t>
  </si>
  <si>
    <t>Shaking type</t>
  </si>
  <si>
    <t>Continuous</t>
  </si>
  <si>
    <t>Shaking method</t>
  </si>
  <si>
    <t>Orbital</t>
  </si>
  <si>
    <t>Shaking speed</t>
  </si>
  <si>
    <t>Medium</t>
  </si>
  <si>
    <t>Wavelength [nm]</t>
  </si>
  <si>
    <t>Use transmittance</t>
  </si>
  <si>
    <t>Measurement mode</t>
  </si>
  <si>
    <t>Fast</t>
  </si>
  <si>
    <t>Pathlength correction</t>
  </si>
  <si>
    <t>Run log</t>
  </si>
  <si>
    <t>Time</t>
  </si>
  <si>
    <t>Event</t>
  </si>
  <si>
    <t>Information</t>
  </si>
  <si>
    <t>Session Human_Leptin_Invitrogen_08_28_26_first trial.skax started</t>
  </si>
  <si>
    <t>2026-08-28T17:03:21-05:00</t>
  </si>
  <si>
    <t>Temperature</t>
  </si>
  <si>
    <t>37.0°C</t>
  </si>
  <si>
    <t>Step Shake 1 started</t>
  </si>
  <si>
    <t>2026-08-28T17:03:44-05:00</t>
  </si>
  <si>
    <t>Step Shake 1 ended</t>
  </si>
  <si>
    <t>Step Absorbance 1 started</t>
  </si>
  <si>
    <t>2026-08-28T17:03:50-05:00</t>
  </si>
  <si>
    <t>2026-08-28T17:04:08-05:00</t>
  </si>
  <si>
    <t>Step Absorbance 1 ended</t>
  </si>
  <si>
    <t>2026-08-28T17:04:13-05:00</t>
  </si>
  <si>
    <t>Session Human_Leptin_Invitrogen_08_28_26_first trial.skax ended</t>
  </si>
  <si>
    <t>Plate template</t>
  </si>
  <si>
    <t>ANSI/SBS Standard, 96-well</t>
  </si>
  <si>
    <t>Group 1</t>
  </si>
  <si>
    <t>15.625 ng/mL</t>
  </si>
  <si>
    <t>1:1</t>
  </si>
  <si>
    <t>31.25 ng/mL</t>
  </si>
  <si>
    <t>62.5 ng/mL</t>
  </si>
  <si>
    <t>125 ng/mL</t>
  </si>
  <si>
    <t>250 ng/mL</t>
  </si>
  <si>
    <t>500 ng/mL</t>
  </si>
  <si>
    <t>1000 ng/mL</t>
  </si>
  <si>
    <t>Serum 5X</t>
  </si>
  <si>
    <t>Serum 100X</t>
  </si>
  <si>
    <t>Serum 500X</t>
  </si>
  <si>
    <t>Serum 1X</t>
  </si>
  <si>
    <t>EtOH 1X</t>
  </si>
  <si>
    <t>EtOH 5X</t>
  </si>
  <si>
    <t>EtOH 100X</t>
  </si>
  <si>
    <t>EtOH 500X</t>
  </si>
  <si>
    <t>EtOH = ethanol extracted serum</t>
  </si>
  <si>
    <t>Sp = spike</t>
  </si>
  <si>
    <t>Std1 1000</t>
  </si>
  <si>
    <t>Std2 500</t>
  </si>
  <si>
    <t>Std3 250</t>
  </si>
  <si>
    <t>Std4 125</t>
  </si>
  <si>
    <t>Std5 62.5</t>
  </si>
  <si>
    <t>Std6 31.25</t>
  </si>
  <si>
    <t>Std7 15.6</t>
  </si>
  <si>
    <t>Serum 50X</t>
  </si>
  <si>
    <t>EtOH 50X</t>
  </si>
  <si>
    <t>Sp1 125 (Serum 1X)</t>
  </si>
  <si>
    <t>Sp5 125 (EtOH 1X)</t>
  </si>
  <si>
    <t>Sp8 125 EtOH (500X)</t>
  </si>
  <si>
    <t>Sp2 125 (Serum 50X)</t>
  </si>
  <si>
    <t>Sp3 125 (Serum 100X)</t>
  </si>
  <si>
    <t>Sp6 125 (EtOH 50X)</t>
  </si>
  <si>
    <t>Sp7 125 (EtOH 100X)</t>
  </si>
  <si>
    <t>min</t>
  </si>
  <si>
    <t>For Regular Serum</t>
  </si>
  <si>
    <t>Dilution factor</t>
  </si>
  <si>
    <t>Measured</t>
  </si>
  <si>
    <t>Corrected</t>
  </si>
  <si>
    <t>Recovery (%)</t>
  </si>
  <si>
    <t>Expected</t>
  </si>
  <si>
    <t>Experimental</t>
  </si>
  <si>
    <t>N/A</t>
  </si>
  <si>
    <t>Serum treated with EtOH</t>
  </si>
  <si>
    <t>Sp4 125 (Serum 500X)</t>
  </si>
  <si>
    <t>Spike 1 (Serum 1X)</t>
  </si>
  <si>
    <t>Spike 2 (Serum 50X)</t>
  </si>
  <si>
    <t>Spike 3 (Serum 100X)</t>
  </si>
  <si>
    <t>Spike 4 (Serum 500X</t>
  </si>
  <si>
    <t>Spike 6 (EtOH 50X)</t>
  </si>
  <si>
    <t>Spike 7 (EtOH 100X)</t>
  </si>
  <si>
    <t>Spike 5 (EtOH 1X)</t>
  </si>
  <si>
    <t>Spike 8 (EtOH 500X)</t>
  </si>
  <si>
    <t>all the sample were spiked with 125 pg/mL standard</t>
  </si>
  <si>
    <t>Human_Leptin_Invitrogen_09_02_26_2nd trial.skax</t>
  </si>
  <si>
    <t>2026-09-02T15:06:48-05:00</t>
  </si>
  <si>
    <t>y = 5.79353 + ( (0.0107439 - 5.79353) / ( 1 + (x/1552.51)^1.28101) )</t>
  </si>
  <si>
    <t>Conc. [pg/mL]</t>
  </si>
  <si>
    <t>Sample Sources</t>
  </si>
  <si>
    <t>Sample vol (uL)</t>
  </si>
  <si>
    <t>Std vol (uL)</t>
  </si>
  <si>
    <t>Std Conc (pg/mL)</t>
  </si>
  <si>
    <t>Total Vol (uL)</t>
  </si>
  <si>
    <t>Spike 1</t>
  </si>
  <si>
    <t>50X diluted serum</t>
  </si>
  <si>
    <t>Spike 2</t>
  </si>
  <si>
    <t>Spike 3</t>
  </si>
  <si>
    <t>Spike 4</t>
  </si>
  <si>
    <t>Spike 5</t>
  </si>
  <si>
    <t>100X diluted serum</t>
  </si>
  <si>
    <t>Spike 6</t>
  </si>
  <si>
    <t>Spike 7</t>
  </si>
  <si>
    <t>Spike 8</t>
  </si>
  <si>
    <t>Spike 9</t>
  </si>
  <si>
    <t>25X diluted serum</t>
  </si>
  <si>
    <t>Spike 10</t>
  </si>
  <si>
    <t>200X diluted serum</t>
  </si>
  <si>
    <t>Spike 11</t>
  </si>
  <si>
    <t>400X diluted serum</t>
  </si>
  <si>
    <t>Serum 25X</t>
  </si>
  <si>
    <t>Sp4 50 (Serum 50X)</t>
  </si>
  <si>
    <t>Sp5 400 (Serum 100X)</t>
  </si>
  <si>
    <t>Sp6 200 (Serum 100X)</t>
  </si>
  <si>
    <t>Serum 200X</t>
  </si>
  <si>
    <t>Sp7 100 (Serum 100X)</t>
  </si>
  <si>
    <t>Serum 400X</t>
  </si>
  <si>
    <t>Sp8 50 (Serum 100X)</t>
  </si>
  <si>
    <t>Sp1 400 (Serum 50X)</t>
  </si>
  <si>
    <t>Sp9 200 (Serum 25X)</t>
  </si>
  <si>
    <t>Sp2 200 (Serum 50X)</t>
  </si>
  <si>
    <t>Sp10 200 (Serum 200X)</t>
  </si>
  <si>
    <t>Blank</t>
  </si>
  <si>
    <t>Sp3 100 (Serum 50X)</t>
  </si>
  <si>
    <t>Sp11 200 (Serum 400X)</t>
  </si>
  <si>
    <t>Spike1 (Serum 50X)</t>
  </si>
  <si>
    <t>Spike2 (Serum 50X)</t>
  </si>
  <si>
    <t>Spike3 (Serum 50X)</t>
  </si>
  <si>
    <t>Spike4 (Serum 50X)</t>
  </si>
  <si>
    <t>Spike5 (Serum 100X)</t>
  </si>
  <si>
    <t>Spike6 (Serum 100X)</t>
  </si>
  <si>
    <t>Spike7 (Serum 100X)</t>
  </si>
  <si>
    <t>Spike8 (Serum 100X)</t>
  </si>
  <si>
    <t>Spike9  (Serum 25X)</t>
  </si>
  <si>
    <t>Spike10 (Serum 200X)</t>
  </si>
  <si>
    <t>Spike11 (Serum 400X)</t>
  </si>
  <si>
    <t>Human Leptin_Invitrogen_3rd Trial_09_17_26.skax</t>
  </si>
  <si>
    <t>2026-09-17T17:07:53-05:00</t>
  </si>
  <si>
    <t>y = 15.0293 + ( (0.00831349 - 15.0293) / ( 1 + (x/5100.39)^1.0782) )</t>
  </si>
  <si>
    <t>Spike1 (Serum 2X)</t>
  </si>
  <si>
    <t>Spike2 (Serum 4X)</t>
  </si>
  <si>
    <t>Spike3 (Serum 8X)</t>
  </si>
  <si>
    <t>Spike4 (Serum 16X)</t>
  </si>
  <si>
    <t>Spike5 (Serum 32X)</t>
  </si>
  <si>
    <t>Spike6 (Serum 64X)</t>
  </si>
  <si>
    <t>Serum 2X</t>
  </si>
  <si>
    <t>Serum 512X</t>
  </si>
  <si>
    <t>Spike7 (Serum 128X)</t>
  </si>
  <si>
    <t>Serum 4X</t>
  </si>
  <si>
    <t>Sp1 300 (Serum 2X)</t>
  </si>
  <si>
    <t>Spike8 (Serum 256X)</t>
  </si>
  <si>
    <t>Serum 8X</t>
  </si>
  <si>
    <t>Sp2 300 (Serum 4X)</t>
  </si>
  <si>
    <t>Spike9 (Serum 512X)</t>
  </si>
  <si>
    <t>Serum 16X</t>
  </si>
  <si>
    <t>SP3 300 (Serum 8X)</t>
  </si>
  <si>
    <t>Serum 32X</t>
  </si>
  <si>
    <t>SP4 300 (Serum 16X)</t>
  </si>
  <si>
    <t>Serum 64X</t>
  </si>
  <si>
    <t>SP5 300 (Serum 32X)</t>
  </si>
  <si>
    <t>Serum 128X</t>
  </si>
  <si>
    <t>SP6 300 (Serum 64X)</t>
  </si>
  <si>
    <t>Sp9 300 (Serum 512X)</t>
  </si>
  <si>
    <t>Serum 256X</t>
  </si>
  <si>
    <t>SP7 300 (Serum 128X)</t>
  </si>
  <si>
    <t>SP8 300 (Serum 256X)</t>
  </si>
  <si>
    <t>Calculation of dilution linearity recovery</t>
  </si>
  <si>
    <t>Calculation of spike recovery</t>
  </si>
  <si>
    <t>Spikes Preparation</t>
  </si>
  <si>
    <t>Spike Conc (pg/mL)</t>
  </si>
  <si>
    <t>Reliable dilution factor could not be determinded so we cannot calculate the dilution linearity</t>
  </si>
  <si>
    <t>Human Leptin_Invitrogen_01_10_26_third trial.skax</t>
  </si>
  <si>
    <t>2026-10-01T16:43:03-05:00</t>
  </si>
  <si>
    <t>y = 4.53704 + ( (0.0180549 - 4.53704) / ( 1 + (x/1031.1)^1.27761) )</t>
  </si>
  <si>
    <t>Conc.</t>
  </si>
  <si>
    <t>Std80001</t>
  </si>
  <si>
    <t>NaN</t>
  </si>
  <si>
    <t>H02</t>
  </si>
  <si>
    <t>&lt;min</t>
  </si>
  <si>
    <t>spike1 250 (Serum 64X)</t>
  </si>
  <si>
    <t>Sp3 62.5 (Serum 64X)</t>
  </si>
  <si>
    <t>spike2 125 (Serum 64X)</t>
  </si>
  <si>
    <t>Serum 96X</t>
  </si>
  <si>
    <t>Sp4 250 (Serum 96X)</t>
  </si>
  <si>
    <t>spike3 62.5 (Serum 64X)</t>
  </si>
  <si>
    <t>Sp5 125 (Serum 96X)</t>
  </si>
  <si>
    <t>spike4 250 (Serum 96X)</t>
  </si>
  <si>
    <t>Serum 192X</t>
  </si>
  <si>
    <t>Sp6 62.5 (Serum 96X)</t>
  </si>
  <si>
    <t>spike5 125 (Serum 96X)</t>
  </si>
  <si>
    <t>Sp7 250 (Serum 128X)</t>
  </si>
  <si>
    <t>spike6 62.5 (Serum 96X)</t>
  </si>
  <si>
    <t>Serum 384X</t>
  </si>
  <si>
    <t>Sp8 125 (Serum 128X)</t>
  </si>
  <si>
    <t>spike7 250 (Serum 128X)</t>
  </si>
  <si>
    <t>Sp1 250 (Serum 64X)</t>
  </si>
  <si>
    <t>Sp9 62.5 (Serum 128X)</t>
  </si>
  <si>
    <t>SP10 125 (Serum 256X)</t>
  </si>
  <si>
    <t>spike8 125 (Serum 128X)</t>
  </si>
  <si>
    <t>Std8 0</t>
  </si>
  <si>
    <t>Sp2 125 (Serum 64X)</t>
  </si>
  <si>
    <t>Sp1 125 (Serum 64X)</t>
  </si>
  <si>
    <t>SP11 125 (Serum 192X)</t>
  </si>
  <si>
    <t>SP12 125 (Serum 384X)</t>
  </si>
  <si>
    <t>spike9 62.5 (Serum 128X)</t>
  </si>
  <si>
    <t>spike10 125 (Serum 256X)</t>
  </si>
  <si>
    <t>Autoloading range A1 - M103</t>
  </si>
  <si>
    <t>spike11 125 (Serum 192X)</t>
  </si>
  <si>
    <t>spike12 125 (Serum 384X)</t>
  </si>
  <si>
    <t>64X diluted serum</t>
  </si>
  <si>
    <t>96X diluted serum</t>
  </si>
  <si>
    <t>128X diluted serum</t>
  </si>
  <si>
    <t>256X diluted serum</t>
  </si>
  <si>
    <t>192X diluted serum</t>
  </si>
  <si>
    <t>Spike 12</t>
  </si>
  <si>
    <t>384X diluted serum</t>
  </si>
  <si>
    <t>spike conc (pg/mL)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</si>
</sst>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0"/>
    <numFmt numFmtId="165" formatCode="0.0000000"/>
    <numFmt numFmtId="166" formatCode="0.00000"/>
    <numFmt numFmtId="167" formatCode="0.000000000"/>
    <numFmt numFmtId="168" formatCode="0.000"/>
    <numFmt numFmtId="169" formatCode="0.00000000"/>
    <numFmt numFmtId="170" formatCode="0.000000"/>
    <numFmt numFmtId="171" formatCode="0.0"/>
  </numFmts>
  <fonts count="3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66BFA6"/>
      </patternFill>
    </fill>
    <fill>
      <patternFill patternType="solid">
        <fgColor rgb="FF5685C4"/>
      </patternFill>
    </fill>
    <fill>
      <patternFill patternType="solid">
        <fgColor rgb="FFE7F4F5"/>
      </patternFill>
    </fill>
    <fill>
      <patternFill patternType="solid">
        <fgColor rgb="FFF3DBDA"/>
        <bgColor rgb="FF000000"/>
      </patternFill>
    </fill>
    <fill>
      <patternFill patternType="solid">
        <fgColor rgb="FFB6CCE4"/>
        <bgColor rgb="FF000000"/>
      </patternFill>
    </fill>
    <fill>
      <patternFill patternType="solid">
        <fgColor rgb="FFD7E3BD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3" borderId="2" xfId="0" applyFill="1" applyBorder="1"/>
    <xf numFmtId="0" fontId="0" fillId="2" borderId="3" xfId="0" applyFill="1" applyBorder="1"/>
    <xf numFmtId="0" fontId="0" fillId="3" borderId="3" xfId="0" applyFill="1" applyBorder="1"/>
    <xf numFmtId="0" fontId="0" fillId="2" borderId="4" xfId="0" applyFill="1" applyBorder="1"/>
    <xf numFmtId="0" fontId="0" fillId="3" borderId="4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0" borderId="5" xfId="0" applyBorder="1"/>
    <xf numFmtId="0" fontId="0" fillId="0" borderId="5" xfId="0" applyBorder="1" applyAlignment="1">
      <alignment horizontal="right"/>
    </xf>
    <xf numFmtId="164" fontId="0" fillId="0" borderId="5" xfId="0" applyNumberFormat="1" applyBorder="1" applyAlignment="1">
      <alignment horizontal="right"/>
    </xf>
    <xf numFmtId="166" fontId="0" fillId="0" borderId="5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70" fontId="0" fillId="0" borderId="5" xfId="0" applyNumberFormat="1" applyBorder="1" applyAlignment="1">
      <alignment horizontal="right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168" fontId="0" fillId="0" borderId="0" xfId="0" applyNumberFormat="1" applyAlignment="1">
      <alignment horizontal="left"/>
    </xf>
    <xf numFmtId="169" fontId="0" fillId="0" borderId="0" xfId="0" applyNumberFormat="1" applyAlignment="1">
      <alignment horizontal="left"/>
    </xf>
    <xf numFmtId="170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5" xfId="0" applyBorder="1" applyAlignment="1">
      <alignment horizontal="left"/>
    </xf>
    <xf numFmtId="165" fontId="0" fillId="0" borderId="5" xfId="0" applyNumberFormat="1" applyBorder="1" applyAlignment="1">
      <alignment horizontal="left"/>
    </xf>
    <xf numFmtId="170" fontId="0" fillId="0" borderId="5" xfId="0" applyNumberFormat="1" applyBorder="1" applyAlignment="1">
      <alignment horizontal="left"/>
    </xf>
    <xf numFmtId="166" fontId="0" fillId="0" borderId="5" xfId="0" applyNumberFormat="1" applyBorder="1" applyAlignment="1">
      <alignment horizontal="left"/>
    </xf>
    <xf numFmtId="164" fontId="0" fillId="0" borderId="5" xfId="0" applyNumberFormat="1" applyBorder="1" applyAlignment="1">
      <alignment horizontal="left"/>
    </xf>
    <xf numFmtId="168" fontId="0" fillId="0" borderId="5" xfId="0" applyNumberFormat="1" applyBorder="1" applyAlignment="1">
      <alignment horizontal="left"/>
    </xf>
    <xf numFmtId="169" fontId="0" fillId="0" borderId="5" xfId="0" applyNumberFormat="1" applyBorder="1" applyAlignment="1">
      <alignment horizontal="right"/>
    </xf>
    <xf numFmtId="167" fontId="0" fillId="0" borderId="5" xfId="0" applyNumberFormat="1" applyBorder="1" applyAlignment="1">
      <alignment horizontal="right"/>
    </xf>
    <xf numFmtId="169" fontId="0" fillId="0" borderId="5" xfId="0" applyNumberFormat="1" applyBorder="1" applyAlignment="1">
      <alignment horizontal="left"/>
    </xf>
    <xf numFmtId="167" fontId="0" fillId="0" borderId="5" xfId="0" applyNumberFormat="1" applyBorder="1" applyAlignment="1">
      <alignment horizontal="left"/>
    </xf>
    <xf numFmtId="0" fontId="0" fillId="0" borderId="6" xfId="0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64" fontId="0" fillId="0" borderId="0" xfId="0" applyNumberFormat="1"/>
    <xf numFmtId="0" fontId="0" fillId="8" borderId="0" xfId="0" applyFill="1" applyAlignment="1">
      <alignment horizontal="left"/>
    </xf>
    <xf numFmtId="0" fontId="0" fillId="0" borderId="0" xfId="0" applyAlignment="1">
      <alignment horizontal="center"/>
    </xf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0" fontId="0" fillId="0" borderId="5" xfId="0" applyBorder="1" applyAlignment="1">
      <alignment horizontal="center"/>
    </xf>
    <xf numFmtId="168" fontId="0" fillId="0" borderId="5" xfId="0" applyNumberFormat="1" applyBorder="1" applyAlignment="1">
      <alignment horizontal="right"/>
    </xf>
    <xf numFmtId="0" fontId="0" fillId="9" borderId="5" xfId="0" applyFill="1" applyBorder="1" applyAlignment="1">
      <alignment horizontal="left"/>
    </xf>
    <xf numFmtId="0" fontId="0" fillId="9" borderId="5" xfId="0" applyFill="1" applyBorder="1"/>
    <xf numFmtId="0" fontId="0" fillId="10" borderId="0" xfId="0" applyFill="1" applyAlignment="1">
      <alignment horizontal="center"/>
    </xf>
    <xf numFmtId="0" fontId="0" fillId="10" borderId="0" xfId="0" applyFill="1" applyAlignment="1">
      <alignment horizontal="left"/>
    </xf>
    <xf numFmtId="0" fontId="1" fillId="0" borderId="5" xfId="0" applyFont="1" applyBorder="1" applyAlignment="1">
      <alignment horizontal="center"/>
    </xf>
    <xf numFmtId="0" fontId="0" fillId="10" borderId="0" xfId="0" applyFill="1"/>
    <xf numFmtId="171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0" fontId="0" fillId="9" borderId="0" xfId="0" applyFill="1" applyAlignment="1">
      <alignment horizontal="left"/>
    </xf>
    <xf numFmtId="0" fontId="0" fillId="9" borderId="0" xfId="0" applyFill="1"/>
    <xf numFmtId="0" fontId="0" fillId="11" borderId="0" xfId="0" applyFill="1"/>
    <xf numFmtId="0" fontId="0" fillId="0" borderId="8" xfId="0" applyBorder="1"/>
    <xf numFmtId="0" fontId="0" fillId="0" borderId="8" xfId="0" applyBorder="1" applyAlignment="1">
      <alignment horizontal="left"/>
    </xf>
    <xf numFmtId="0" fontId="0" fillId="9" borderId="8" xfId="0" applyFill="1" applyBorder="1"/>
    <xf numFmtId="0" fontId="0" fillId="10" borderId="0" xfId="0" applyFill="1" applyAlignment="1">
      <alignment horizontal="center"/>
    </xf>
    <xf numFmtId="49" fontId="2" fillId="0" borderId="9" xfId="0" applyNumberFormat="1" applyFont="1" applyBorder="1" applyAlignment="1">
      <alignment horizontal="center" wrapText="1"/>
    </xf>
    <xf numFmtId="49" fontId="2" fillId="0" borderId="10" xfId="0" applyNumberFormat="1" applyFont="1" applyBorder="1" applyAlignment="1">
      <alignment horizontal="center" wrapText="1"/>
    </xf>
    <xf numFmtId="49" fontId="2" fillId="0" borderId="11" xfId="0" applyNumberFormat="1" applyFont="1" applyBorder="1" applyAlignment="1">
      <alignment horizontal="center" wrapText="1"/>
    </xf>
    <xf numFmtId="49" fontId="2" fillId="0" borderId="12" xfId="0" applyNumberFormat="1" applyFont="1" applyBorder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2" fillId="0" borderId="13" xfId="0" applyNumberFormat="1" applyFont="1" applyBorder="1" applyAlignment="1">
      <alignment horizontal="center" wrapText="1"/>
    </xf>
    <xf numFmtId="49" fontId="2" fillId="0" borderId="14" xfId="0" applyNumberFormat="1" applyFont="1" applyBorder="1" applyAlignment="1">
      <alignment horizontal="center" wrapText="1"/>
    </xf>
    <xf numFmtId="49" fontId="2" fillId="0" borderId="15" xfId="0" applyNumberFormat="1" applyFont="1" applyBorder="1" applyAlignment="1">
      <alignment horizontal="center" wrapText="1"/>
    </xf>
    <xf numFmtId="49" fontId="2" fillId="0" borderId="16" xfId="0" applyNumberFormat="1" applyFont="1" applyBorder="1" applyAlignment="1">
      <alignment horizontal="center" wrapText="1"/>
    </xf>
    <xf numFmtId="0" fontId="1" fillId="11" borderId="7" xfId="0" applyFont="1" applyFill="1" applyBorder="1" applyAlignment="1">
      <alignment horizontal="center"/>
    </xf>
    <xf numFmtId="0" fontId="1" fillId="10" borderId="7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0" fillId="8" borderId="0" xfId="0" applyFill="1" applyAlignment="1">
      <alignment horizontal="left"/>
    </xf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6</xdr:col>
      <xdr:colOff>657225</xdr:colOff>
      <xdr:row>33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3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476500"/>
          <a:ext cx="6858000" cy="38100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6</xdr:col>
      <xdr:colOff>628650</xdr:colOff>
      <xdr:row>33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F2F85C-B2CB-43AB-8FD4-0CA6A55F1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476500"/>
          <a:ext cx="6877050" cy="358140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5</xdr:col>
      <xdr:colOff>1301750</xdr:colOff>
      <xdr:row>33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FD6094-53FC-4D0A-B566-81BC4E0D0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476500"/>
          <a:ext cx="6864350" cy="381000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6</xdr:col>
      <xdr:colOff>419100</xdr:colOff>
      <xdr:row>33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5D8114-7DD7-471B-A1B3-A068A060C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476500"/>
          <a:ext cx="6858000" cy="38100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tandard Curve 2_04"/>
  <dimension ref="A1:R108"/>
  <sheetViews>
    <sheetView topLeftCell="C75" zoomScale="110" zoomScaleNormal="110" workbookViewId="0">
      <selection activeCell="O89" sqref="O89:R91"/>
    </sheetView>
  </sheetViews>
  <sheetFormatPr defaultColWidth="9.140625" defaultRowHeight="15" customHeight="1" x14ac:dyDescent="0.2"/>
  <cols>
    <col min="1" max="1" width="13.42578125" style="19" customWidth="1"/>
    <col min="2" max="2" width="12.42578125" style="19" customWidth="1"/>
    <col min="3" max="3" width="19.42578125" style="19" customWidth="1"/>
    <col min="4" max="4" width="14.42578125" style="19" customWidth="1"/>
    <col min="5" max="5" width="13.42578125" style="19" customWidth="1"/>
    <col min="6" max="7" width="19.85546875" style="19" customWidth="1"/>
    <col min="8" max="8" width="7.42578125" style="19" customWidth="1"/>
    <col min="9" max="9" width="3.140625" style="19" customWidth="1"/>
    <col min="10" max="10" width="19.140625" style="19" customWidth="1"/>
    <col min="11" max="13" width="14.5703125" style="19" customWidth="1"/>
    <col min="14" max="14" width="9.140625" style="19"/>
    <col min="15" max="16" width="14.7109375" style="19" customWidth="1"/>
    <col min="17" max="17" width="19" style="19" customWidth="1"/>
    <col min="18" max="18" width="18.5703125" style="19" customWidth="1"/>
    <col min="19" max="16384" width="9.140625" style="19"/>
  </cols>
  <sheetData>
    <row r="1" spans="1:1" ht="15" customHeight="1" x14ac:dyDescent="0.2">
      <c r="A1" s="19" t="s">
        <v>0</v>
      </c>
    </row>
    <row r="2" spans="1:1" ht="15" customHeight="1" x14ac:dyDescent="0.2">
      <c r="A2" s="19" t="s">
        <v>1</v>
      </c>
    </row>
    <row r="3" spans="1:1" ht="15" customHeight="1" x14ac:dyDescent="0.2">
      <c r="A3" s="19" t="s">
        <v>2</v>
      </c>
    </row>
    <row r="4" spans="1:1" ht="15" customHeight="1" x14ac:dyDescent="0.2">
      <c r="A4" s="19" t="s">
        <v>3</v>
      </c>
    </row>
    <row r="5" spans="1:1" ht="15" customHeight="1" x14ac:dyDescent="0.2">
      <c r="A5" s="19" t="s">
        <v>77</v>
      </c>
    </row>
    <row r="7" spans="1:1" ht="15" customHeight="1" x14ac:dyDescent="0.2">
      <c r="A7" s="19" t="s">
        <v>41</v>
      </c>
    </row>
    <row r="8" spans="1:1" ht="15" customHeight="1" x14ac:dyDescent="0.2">
      <c r="A8" s="19" t="s">
        <v>42</v>
      </c>
    </row>
    <row r="9" spans="1:1" ht="15" customHeight="1" x14ac:dyDescent="0.2">
      <c r="A9" s="19" t="s">
        <v>43</v>
      </c>
    </row>
    <row r="10" spans="1:1" ht="15" customHeight="1" x14ac:dyDescent="0.2">
      <c r="A10" s="19" t="s">
        <v>5</v>
      </c>
    </row>
    <row r="11" spans="1:1" ht="15" customHeight="1" x14ac:dyDescent="0.2">
      <c r="A11" s="19" t="s">
        <v>44</v>
      </c>
    </row>
    <row r="12" spans="1:1" ht="15" customHeight="1" x14ac:dyDescent="0.2">
      <c r="A12" s="19" t="s">
        <v>45</v>
      </c>
    </row>
    <row r="13" spans="1:1" ht="15" customHeight="1" x14ac:dyDescent="0.2">
      <c r="A13" s="19" t="s">
        <v>3</v>
      </c>
    </row>
    <row r="15" spans="1:1" ht="15" customHeight="1" x14ac:dyDescent="0.2">
      <c r="A15" s="19" t="s">
        <v>3</v>
      </c>
    </row>
    <row r="36" spans="1:7" ht="15" customHeight="1" x14ac:dyDescent="0.2">
      <c r="A36" s="19" t="s">
        <v>78</v>
      </c>
    </row>
    <row r="38" spans="1:7" ht="15" customHeight="1" x14ac:dyDescent="0.2">
      <c r="A38" s="19" t="s">
        <v>46</v>
      </c>
    </row>
    <row r="39" spans="1:7" ht="12.75" x14ac:dyDescent="0.2">
      <c r="A39" s="19" t="s">
        <v>47</v>
      </c>
    </row>
    <row r="40" spans="1:7" ht="12.75" x14ac:dyDescent="0.2">
      <c r="A40" s="19" t="s">
        <v>48</v>
      </c>
      <c r="B40" s="25">
        <v>9.4111500000000001E-3</v>
      </c>
    </row>
    <row r="41" spans="1:7" ht="12.75" x14ac:dyDescent="0.2">
      <c r="A41" s="19" t="s">
        <v>49</v>
      </c>
      <c r="B41" s="21">
        <v>1.19248</v>
      </c>
    </row>
    <row r="42" spans="1:7" ht="12.75" x14ac:dyDescent="0.2">
      <c r="A42" s="19" t="s">
        <v>50</v>
      </c>
      <c r="B42" s="22">
        <v>2670.35</v>
      </c>
    </row>
    <row r="43" spans="1:7" ht="12.75" x14ac:dyDescent="0.2">
      <c r="A43" s="19" t="s">
        <v>51</v>
      </c>
      <c r="B43" s="27">
        <v>9.6309000000000005</v>
      </c>
    </row>
    <row r="44" spans="1:7" ht="12.75" x14ac:dyDescent="0.2"/>
    <row r="45" spans="1:7" ht="12.75" x14ac:dyDescent="0.2">
      <c r="A45" s="19" t="s">
        <v>52</v>
      </c>
    </row>
    <row r="46" spans="1:7" ht="12.75" x14ac:dyDescent="0.2">
      <c r="A46" s="19" t="s">
        <v>3</v>
      </c>
    </row>
    <row r="47" spans="1:7" ht="12.75" x14ac:dyDescent="0.2">
      <c r="A47" s="19" t="s">
        <v>53</v>
      </c>
      <c r="B47" s="19" t="s">
        <v>15</v>
      </c>
      <c r="C47" s="19" t="s">
        <v>54</v>
      </c>
      <c r="D47" s="19" t="s">
        <v>55</v>
      </c>
      <c r="E47" s="19" t="s">
        <v>56</v>
      </c>
      <c r="F47" s="19" t="s">
        <v>57</v>
      </c>
      <c r="G47" s="19" t="s">
        <v>58</v>
      </c>
    </row>
    <row r="48" spans="1:7" ht="12.75" x14ac:dyDescent="0.2">
      <c r="A48" s="19" t="s">
        <v>59</v>
      </c>
      <c r="B48" s="19" t="s">
        <v>34</v>
      </c>
      <c r="C48" s="19">
        <v>1000</v>
      </c>
      <c r="D48" s="21">
        <v>2.2865700000000002</v>
      </c>
      <c r="E48" s="21">
        <v>1.32047</v>
      </c>
      <c r="F48" s="21">
        <v>2.2861199999999999</v>
      </c>
      <c r="G48" s="23">
        <v>4.5663099999999999E-4</v>
      </c>
    </row>
    <row r="49" spans="1:7" ht="12.75" x14ac:dyDescent="0.2">
      <c r="A49" s="19" t="s">
        <v>60</v>
      </c>
      <c r="B49" s="19" t="s">
        <v>34</v>
      </c>
      <c r="C49" s="19">
        <v>1000</v>
      </c>
      <c r="D49" s="21">
        <v>2.3079200000000002</v>
      </c>
      <c r="F49" s="21">
        <v>2.2861199999999999</v>
      </c>
      <c r="G49" s="20">
        <v>2.1806599999999999E-2</v>
      </c>
    </row>
    <row r="50" spans="1:7" ht="12.75" x14ac:dyDescent="0.2">
      <c r="A50" s="19" t="s">
        <v>61</v>
      </c>
      <c r="B50" s="19" t="s">
        <v>34</v>
      </c>
      <c r="C50" s="19">
        <v>1000</v>
      </c>
      <c r="D50" s="21">
        <v>2.2652199999999998</v>
      </c>
      <c r="F50" s="21">
        <v>2.2861199999999999</v>
      </c>
      <c r="G50" s="20">
        <v>-2.0893399999999999E-2</v>
      </c>
    </row>
    <row r="51" spans="1:7" ht="12.75" x14ac:dyDescent="0.2">
      <c r="A51" s="19" t="s">
        <v>59</v>
      </c>
      <c r="B51" s="19" t="s">
        <v>31</v>
      </c>
      <c r="C51" s="24">
        <v>500</v>
      </c>
      <c r="D51" s="21">
        <v>1.15524</v>
      </c>
      <c r="E51" s="21">
        <v>3.7061899999999999</v>
      </c>
      <c r="F51" s="21">
        <v>1.15852</v>
      </c>
      <c r="G51" s="25">
        <v>-3.2836499999999999E-3</v>
      </c>
    </row>
    <row r="52" spans="1:7" ht="12.75" x14ac:dyDescent="0.2">
      <c r="A52" s="19" t="s">
        <v>62</v>
      </c>
      <c r="B52" s="19" t="s">
        <v>31</v>
      </c>
      <c r="C52" s="24">
        <v>500</v>
      </c>
      <c r="D52" s="21">
        <v>1.12496</v>
      </c>
      <c r="F52" s="21">
        <v>1.15852</v>
      </c>
      <c r="G52" s="20">
        <v>-3.3558600000000001E-2</v>
      </c>
    </row>
    <row r="53" spans="1:7" ht="12.75" x14ac:dyDescent="0.2">
      <c r="A53" s="19" t="s">
        <v>63</v>
      </c>
      <c r="B53" s="19" t="s">
        <v>31</v>
      </c>
      <c r="C53" s="24">
        <v>500</v>
      </c>
      <c r="D53" s="21">
        <v>1.1855100000000001</v>
      </c>
      <c r="F53" s="21">
        <v>1.15852</v>
      </c>
      <c r="G53" s="20">
        <v>2.6991399999999999E-2</v>
      </c>
    </row>
    <row r="54" spans="1:7" ht="12.75" x14ac:dyDescent="0.2">
      <c r="A54" s="19" t="s">
        <v>59</v>
      </c>
      <c r="B54" s="19" t="s">
        <v>28</v>
      </c>
      <c r="C54" s="24">
        <v>250</v>
      </c>
      <c r="D54" s="26">
        <v>0.55624200000000001</v>
      </c>
      <c r="E54" s="21">
        <v>6.7264200000000001</v>
      </c>
      <c r="F54" s="26">
        <v>0.54841300000000004</v>
      </c>
      <c r="G54" s="25">
        <v>7.8283199999999997E-3</v>
      </c>
    </row>
    <row r="55" spans="1:7" ht="12.75" x14ac:dyDescent="0.2">
      <c r="A55" s="19" t="s">
        <v>64</v>
      </c>
      <c r="B55" s="19" t="s">
        <v>28</v>
      </c>
      <c r="C55" s="24">
        <v>250</v>
      </c>
      <c r="D55" s="26">
        <v>0.52978499999999995</v>
      </c>
      <c r="F55" s="26">
        <v>0.54841300000000004</v>
      </c>
      <c r="G55" s="20">
        <v>-1.8628200000000001E-2</v>
      </c>
    </row>
    <row r="56" spans="1:7" ht="12.75" x14ac:dyDescent="0.2">
      <c r="A56" s="19" t="s">
        <v>65</v>
      </c>
      <c r="B56" s="19" t="s">
        <v>28</v>
      </c>
      <c r="C56" s="24">
        <v>250</v>
      </c>
      <c r="D56" s="26">
        <v>0.58269800000000005</v>
      </c>
      <c r="F56" s="26">
        <v>0.54841300000000004</v>
      </c>
      <c r="G56" s="20">
        <v>3.4284799999999997E-2</v>
      </c>
    </row>
    <row r="57" spans="1:7" ht="12.75" x14ac:dyDescent="0.2">
      <c r="A57" s="19" t="s">
        <v>59</v>
      </c>
      <c r="B57" s="19" t="s">
        <v>25</v>
      </c>
      <c r="C57" s="24">
        <v>125</v>
      </c>
      <c r="D57" s="26">
        <v>0.24881300000000001</v>
      </c>
      <c r="E57" s="21">
        <v>2.46678</v>
      </c>
      <c r="F57" s="26">
        <v>0.25292500000000001</v>
      </c>
      <c r="G57" s="25">
        <v>-4.1117799999999998E-3</v>
      </c>
    </row>
    <row r="58" spans="1:7" ht="12.75" x14ac:dyDescent="0.2">
      <c r="A58" s="19" t="s">
        <v>66</v>
      </c>
      <c r="B58" s="19" t="s">
        <v>25</v>
      </c>
      <c r="C58" s="24">
        <v>125</v>
      </c>
      <c r="D58" s="26">
        <v>0.244473</v>
      </c>
      <c r="F58" s="26">
        <v>0.25292500000000001</v>
      </c>
      <c r="G58" s="25">
        <v>-8.4517800000000008E-3</v>
      </c>
    </row>
    <row r="59" spans="1:7" ht="12.75" x14ac:dyDescent="0.2">
      <c r="A59" s="19" t="s">
        <v>67</v>
      </c>
      <c r="B59" s="19" t="s">
        <v>25</v>
      </c>
      <c r="C59" s="24">
        <v>125</v>
      </c>
      <c r="D59" s="26">
        <v>0.25315300000000002</v>
      </c>
      <c r="F59" s="26">
        <v>0.25292500000000001</v>
      </c>
      <c r="G59" s="23">
        <v>2.2822200000000001E-4</v>
      </c>
    </row>
    <row r="60" spans="1:7" ht="12.75" x14ac:dyDescent="0.2">
      <c r="A60" s="19" t="s">
        <v>59</v>
      </c>
      <c r="B60" s="19" t="s">
        <v>22</v>
      </c>
      <c r="C60" s="27">
        <v>62.5</v>
      </c>
      <c r="D60" s="26">
        <v>0.11197</v>
      </c>
      <c r="E60" s="21">
        <v>4.75847</v>
      </c>
      <c r="F60" s="26">
        <v>0.11749999999999999</v>
      </c>
      <c r="G60" s="25">
        <v>-5.5298200000000004E-3</v>
      </c>
    </row>
    <row r="61" spans="1:7" ht="12.75" x14ac:dyDescent="0.2">
      <c r="A61" s="19" t="s">
        <v>68</v>
      </c>
      <c r="B61" s="19" t="s">
        <v>22</v>
      </c>
      <c r="C61" s="27">
        <v>62.5</v>
      </c>
      <c r="D61" s="26">
        <v>0.10820200000000001</v>
      </c>
      <c r="F61" s="26">
        <v>0.11749999999999999</v>
      </c>
      <c r="G61" s="25">
        <v>-9.2973199999999995E-3</v>
      </c>
    </row>
    <row r="62" spans="1:7" ht="12.75" x14ac:dyDescent="0.2">
      <c r="A62" s="19" t="s">
        <v>69</v>
      </c>
      <c r="B62" s="19" t="s">
        <v>22</v>
      </c>
      <c r="C62" s="27">
        <v>62.5</v>
      </c>
      <c r="D62" s="26">
        <v>0.11573700000000001</v>
      </c>
      <c r="F62" s="26">
        <v>0.11749999999999999</v>
      </c>
      <c r="G62" s="25">
        <v>-1.7623199999999999E-3</v>
      </c>
    </row>
    <row r="63" spans="1:7" ht="12.75" x14ac:dyDescent="0.2">
      <c r="A63" s="19" t="s">
        <v>59</v>
      </c>
      <c r="B63" s="19" t="s">
        <v>19</v>
      </c>
      <c r="C63" s="27">
        <v>31.25</v>
      </c>
      <c r="D63" s="20">
        <v>5.7614800000000001E-2</v>
      </c>
      <c r="E63" s="21">
        <v>1.08125</v>
      </c>
      <c r="F63" s="20">
        <v>5.7006099999999997E-2</v>
      </c>
      <c r="G63" s="23">
        <v>6.0868000000000001E-4</v>
      </c>
    </row>
    <row r="64" spans="1:7" ht="12.75" x14ac:dyDescent="0.2">
      <c r="A64" s="19" t="s">
        <v>70</v>
      </c>
      <c r="B64" s="19" t="s">
        <v>19</v>
      </c>
      <c r="C64" s="27">
        <v>31.25</v>
      </c>
      <c r="D64" s="20">
        <v>5.7174299999999997E-2</v>
      </c>
      <c r="F64" s="20">
        <v>5.7006099999999997E-2</v>
      </c>
      <c r="G64" s="23">
        <v>1.6818000000000001E-4</v>
      </c>
    </row>
    <row r="65" spans="1:17" ht="12.75" x14ac:dyDescent="0.2">
      <c r="A65" s="19" t="s">
        <v>71</v>
      </c>
      <c r="B65" s="19" t="s">
        <v>19</v>
      </c>
      <c r="C65" s="27">
        <v>31.25</v>
      </c>
      <c r="D65" s="20">
        <v>5.8055299999999997E-2</v>
      </c>
      <c r="F65" s="20">
        <v>5.7006099999999997E-2</v>
      </c>
      <c r="G65" s="25">
        <v>1.04918E-3</v>
      </c>
    </row>
    <row r="66" spans="1:17" ht="12.75" x14ac:dyDescent="0.2">
      <c r="A66" s="19" t="s">
        <v>59</v>
      </c>
      <c r="B66" s="19" t="s">
        <v>16</v>
      </c>
      <c r="C66" s="27">
        <v>15.625</v>
      </c>
      <c r="D66" s="20">
        <v>3.4326099999999998E-2</v>
      </c>
      <c r="E66" s="27">
        <v>24.447700000000001</v>
      </c>
      <c r="F66" s="20">
        <v>3.0294499999999999E-2</v>
      </c>
      <c r="G66" s="25">
        <v>4.0316099999999997E-3</v>
      </c>
    </row>
    <row r="67" spans="1:17" ht="12.75" x14ac:dyDescent="0.2">
      <c r="A67" s="19" t="s">
        <v>72</v>
      </c>
      <c r="B67" s="19" t="s">
        <v>16</v>
      </c>
      <c r="C67" s="27">
        <v>15.625</v>
      </c>
      <c r="D67" s="20">
        <v>2.83921E-2</v>
      </c>
      <c r="F67" s="20">
        <v>3.0294499999999999E-2</v>
      </c>
      <c r="G67" s="25">
        <v>-1.9023899999999999E-3</v>
      </c>
    </row>
    <row r="68" spans="1:17" ht="12.75" x14ac:dyDescent="0.2">
      <c r="A68" s="19" t="s">
        <v>73</v>
      </c>
      <c r="B68" s="19" t="s">
        <v>16</v>
      </c>
      <c r="C68" s="27">
        <v>15.625</v>
      </c>
      <c r="D68" s="20">
        <v>4.02601E-2</v>
      </c>
      <c r="F68" s="20">
        <v>3.0294499999999999E-2</v>
      </c>
      <c r="G68" s="25">
        <v>9.9656099999999997E-3</v>
      </c>
    </row>
    <row r="69" spans="1:17" ht="12.75" x14ac:dyDescent="0.2"/>
    <row r="70" spans="1:17" ht="12.75" x14ac:dyDescent="0.2"/>
    <row r="71" spans="1:17" ht="12.75" x14ac:dyDescent="0.2">
      <c r="A71" s="19" t="s">
        <v>6</v>
      </c>
    </row>
    <row r="72" spans="1:17" ht="12.75" x14ac:dyDescent="0.2">
      <c r="A72" s="19" t="s">
        <v>3</v>
      </c>
    </row>
    <row r="73" spans="1:17" ht="12.75" x14ac:dyDescent="0.2">
      <c r="A73" s="28" t="s">
        <v>74</v>
      </c>
      <c r="B73" s="28">
        <v>1</v>
      </c>
      <c r="C73" s="28">
        <v>2</v>
      </c>
      <c r="D73" s="28">
        <v>3</v>
      </c>
      <c r="E73" s="28">
        <v>4</v>
      </c>
      <c r="F73" s="28">
        <v>5</v>
      </c>
      <c r="G73" s="28">
        <v>6</v>
      </c>
    </row>
    <row r="74" spans="1:17" ht="12.75" x14ac:dyDescent="0.2">
      <c r="A74" s="28" t="s">
        <v>7</v>
      </c>
      <c r="B74" s="29">
        <v>2.83921E-2</v>
      </c>
      <c r="C74" s="29">
        <v>4.02601E-2</v>
      </c>
      <c r="D74" s="36">
        <v>8.1618000000000003E-3</v>
      </c>
      <c r="E74" s="36">
        <v>4.3997000000000003E-3</v>
      </c>
      <c r="F74" s="29">
        <v>1.03541E-2</v>
      </c>
      <c r="G74" s="36">
        <v>5.0905000000000004E-3</v>
      </c>
    </row>
    <row r="75" spans="1:17" ht="12.75" x14ac:dyDescent="0.2">
      <c r="A75" s="28" t="s">
        <v>8</v>
      </c>
      <c r="B75" s="29">
        <v>5.7174299999999997E-2</v>
      </c>
      <c r="C75" s="29">
        <v>5.8055299999999997E-2</v>
      </c>
      <c r="D75" s="30">
        <v>0.12546499999999999</v>
      </c>
      <c r="E75" s="30">
        <v>0.116076</v>
      </c>
      <c r="F75" s="36">
        <v>3.2663000000000002E-3</v>
      </c>
      <c r="G75" s="29">
        <v>2.0356800000000001E-2</v>
      </c>
    </row>
    <row r="76" spans="1:17" ht="12.75" x14ac:dyDescent="0.2">
      <c r="A76" s="28" t="s">
        <v>9</v>
      </c>
      <c r="B76" s="30">
        <v>0.10820200000000001</v>
      </c>
      <c r="C76" s="30">
        <v>0.11573700000000001</v>
      </c>
      <c r="D76" s="29">
        <v>8.3907300000000004E-2</v>
      </c>
      <c r="E76" s="29">
        <v>7.9785300000000003E-2</v>
      </c>
      <c r="F76" s="29">
        <v>7.4861300000000006E-2</v>
      </c>
      <c r="G76" s="30">
        <v>0.119357</v>
      </c>
      <c r="K76" s="43" t="s">
        <v>218</v>
      </c>
      <c r="L76" s="43"/>
    </row>
    <row r="77" spans="1:17" ht="12.75" x14ac:dyDescent="0.2">
      <c r="A77" s="28" t="s">
        <v>10</v>
      </c>
      <c r="B77" s="30">
        <v>0.244473</v>
      </c>
      <c r="C77" s="30">
        <v>0.25315300000000002</v>
      </c>
      <c r="D77" s="29">
        <v>3.8580400000000001E-2</v>
      </c>
      <c r="E77" s="29">
        <v>3.4344699999999999E-2</v>
      </c>
      <c r="F77" s="30">
        <v>0.26829599999999998</v>
      </c>
      <c r="G77" s="30">
        <v>0.25850699999999999</v>
      </c>
      <c r="J77" s="79" t="s">
        <v>318</v>
      </c>
      <c r="K77" s="79"/>
      <c r="L77" s="79"/>
      <c r="M77" s="79"/>
    </row>
    <row r="78" spans="1:17" ht="13.5" thickBot="1" x14ac:dyDescent="0.25">
      <c r="A78" s="28" t="s">
        <v>11</v>
      </c>
      <c r="B78" s="30">
        <v>0.52978499999999995</v>
      </c>
      <c r="C78" s="30">
        <v>0.58269800000000005</v>
      </c>
      <c r="D78" s="36">
        <v>2.2372E-3</v>
      </c>
      <c r="E78" s="36">
        <v>6.9991000000000003E-3</v>
      </c>
      <c r="F78" s="30">
        <v>0.24304200000000001</v>
      </c>
      <c r="G78" s="30">
        <v>0.25211499999999998</v>
      </c>
      <c r="J78" s="28" t="s">
        <v>219</v>
      </c>
      <c r="K78" s="28" t="s">
        <v>220</v>
      </c>
      <c r="L78" s="28" t="s">
        <v>221</v>
      </c>
      <c r="M78" s="28" t="s">
        <v>222</v>
      </c>
    </row>
    <row r="79" spans="1:17" ht="12.75" customHeight="1" x14ac:dyDescent="0.2">
      <c r="A79" s="28" t="s">
        <v>12</v>
      </c>
      <c r="B79" s="31">
        <v>1.12496</v>
      </c>
      <c r="C79" s="31">
        <v>1.1855100000000001</v>
      </c>
      <c r="D79" s="36">
        <v>3.3099000000000002E-3</v>
      </c>
      <c r="E79" s="36">
        <v>6.2769999999999996E-3</v>
      </c>
      <c r="F79" s="30">
        <v>0.21171799999999999</v>
      </c>
      <c r="G79" s="30">
        <v>0.25759199999999999</v>
      </c>
      <c r="J79" s="28">
        <v>1</v>
      </c>
      <c r="K79" s="28" t="s">
        <v>217</v>
      </c>
      <c r="L79" s="28" t="e">
        <f>(J79*K79)</f>
        <v>#VALUE!</v>
      </c>
      <c r="M79" s="66"/>
      <c r="N79" s="69" t="s">
        <v>322</v>
      </c>
      <c r="O79" s="70"/>
      <c r="P79" s="70"/>
      <c r="Q79" s="71"/>
    </row>
    <row r="80" spans="1:17" ht="12.75" x14ac:dyDescent="0.2">
      <c r="A80" s="28" t="s">
        <v>13</v>
      </c>
      <c r="B80" s="31">
        <v>2.3079200000000002</v>
      </c>
      <c r="C80" s="31">
        <v>2.2652199999999998</v>
      </c>
      <c r="D80" s="37">
        <v>4.035E-4</v>
      </c>
      <c r="E80" s="37">
        <v>4.2079999999999998E-4</v>
      </c>
      <c r="F80" s="30">
        <v>0.23475199999999999</v>
      </c>
      <c r="G80" s="30">
        <v>0.24238000000000001</v>
      </c>
      <c r="J80" s="28">
        <v>5</v>
      </c>
      <c r="K80" s="28">
        <v>64.094049999999996</v>
      </c>
      <c r="L80" s="28">
        <f>(J80*K80)</f>
        <v>320.47024999999996</v>
      </c>
      <c r="M80" s="66"/>
      <c r="N80" s="72"/>
      <c r="O80" s="73"/>
      <c r="P80" s="73"/>
      <c r="Q80" s="74"/>
    </row>
    <row r="81" spans="1:18" ht="13.5" thickBot="1" x14ac:dyDescent="0.25">
      <c r="A81" s="28" t="s">
        <v>14</v>
      </c>
      <c r="B81" s="28"/>
      <c r="C81" s="30">
        <v>0.25519799999999998</v>
      </c>
      <c r="D81" s="36">
        <v>1.7780999999999999E-3</v>
      </c>
      <c r="E81" s="37">
        <v>9.3919999999999995E-4</v>
      </c>
      <c r="F81" s="30">
        <v>0.22540099999999999</v>
      </c>
      <c r="G81" s="30">
        <v>0.22393399999999999</v>
      </c>
      <c r="J81" s="28">
        <v>50</v>
      </c>
      <c r="K81" s="28">
        <v>44.53725</v>
      </c>
      <c r="L81" s="28">
        <f>(J81*K81)</f>
        <v>2226.8625000000002</v>
      </c>
      <c r="M81" s="66"/>
      <c r="N81" s="75"/>
      <c r="O81" s="76"/>
      <c r="P81" s="76"/>
      <c r="Q81" s="77"/>
    </row>
    <row r="82" spans="1:18" ht="12.75" x14ac:dyDescent="0.2">
      <c r="J82" s="28">
        <v>100</v>
      </c>
      <c r="K82" s="28">
        <v>19.4146</v>
      </c>
      <c r="L82" s="28">
        <f>(J82*K82)</f>
        <v>1941.46</v>
      </c>
      <c r="M82" s="28"/>
    </row>
    <row r="83" spans="1:18" ht="12.75" x14ac:dyDescent="0.2">
      <c r="A83" s="28" t="s">
        <v>54</v>
      </c>
      <c r="B83" s="28">
        <v>1</v>
      </c>
      <c r="C83" s="28">
        <v>2</v>
      </c>
      <c r="D83" s="28">
        <v>3</v>
      </c>
      <c r="E83" s="28">
        <v>4</v>
      </c>
      <c r="F83" s="28">
        <v>5</v>
      </c>
      <c r="G83" s="28">
        <v>6</v>
      </c>
      <c r="J83" s="28">
        <v>500</v>
      </c>
      <c r="K83" s="28" t="s">
        <v>217</v>
      </c>
      <c r="L83" s="28" t="e">
        <f t="shared" ref="L83" si="0">(J83*K83)</f>
        <v>#VALUE!</v>
      </c>
      <c r="M83" s="28"/>
    </row>
    <row r="84" spans="1:18" ht="12.75" x14ac:dyDescent="0.2">
      <c r="A84" s="28" t="s">
        <v>7</v>
      </c>
      <c r="B84" s="32">
        <v>14.4199</v>
      </c>
      <c r="C84" s="32">
        <v>21.691500000000001</v>
      </c>
      <c r="D84" s="28" t="s">
        <v>75</v>
      </c>
      <c r="E84" s="28" t="s">
        <v>75</v>
      </c>
      <c r="F84" s="31">
        <v>1.1611800000000001</v>
      </c>
      <c r="G84" s="28" t="s">
        <v>75</v>
      </c>
    </row>
    <row r="85" spans="1:18" ht="12.75" x14ac:dyDescent="0.2">
      <c r="A85" s="28" t="s">
        <v>8</v>
      </c>
      <c r="B85" s="32">
        <v>31.343</v>
      </c>
      <c r="C85" s="32">
        <v>31.829599999999999</v>
      </c>
      <c r="D85" s="32">
        <v>66.386799999999994</v>
      </c>
      <c r="E85" s="32">
        <v>61.801299999999998</v>
      </c>
      <c r="F85" s="28" t="s">
        <v>75</v>
      </c>
      <c r="G85" s="31">
        <v>9.0817499999999995</v>
      </c>
      <c r="J85" s="79" t="s">
        <v>319</v>
      </c>
      <c r="K85" s="79"/>
      <c r="L85" s="79"/>
      <c r="M85" s="79"/>
    </row>
    <row r="86" spans="1:18" ht="12.75" x14ac:dyDescent="0.2">
      <c r="A86" s="28" t="s">
        <v>9</v>
      </c>
      <c r="B86" s="32">
        <v>57.911900000000003</v>
      </c>
      <c r="C86" s="32">
        <v>61.634700000000002</v>
      </c>
      <c r="D86" s="32">
        <v>45.6081</v>
      </c>
      <c r="E86" s="32">
        <v>43.4664</v>
      </c>
      <c r="F86" s="32">
        <v>40.883600000000001</v>
      </c>
      <c r="G86" s="32">
        <v>63.4099</v>
      </c>
      <c r="H86" s="32"/>
      <c r="J86" s="28"/>
      <c r="K86" s="28" t="s">
        <v>223</v>
      </c>
      <c r="L86" s="28" t="s">
        <v>224</v>
      </c>
      <c r="M86" s="28" t="s">
        <v>222</v>
      </c>
    </row>
    <row r="87" spans="1:18" ht="12.75" x14ac:dyDescent="0.2">
      <c r="A87" s="28" t="s">
        <v>10</v>
      </c>
      <c r="B87" s="33">
        <v>121.26</v>
      </c>
      <c r="C87" s="33">
        <v>125.101</v>
      </c>
      <c r="D87" s="32">
        <v>20.6936</v>
      </c>
      <c r="E87" s="32">
        <v>18.1356</v>
      </c>
      <c r="F87" s="33">
        <v>131.76499999999999</v>
      </c>
      <c r="G87" s="33">
        <v>127.462</v>
      </c>
      <c r="H87" s="24"/>
      <c r="J87" s="28" t="s">
        <v>228</v>
      </c>
      <c r="K87" s="28" t="s">
        <v>225</v>
      </c>
      <c r="L87" s="28">
        <v>40.883600000000001</v>
      </c>
      <c r="M87" s="28" t="e">
        <f>(L87/K87)*100</f>
        <v>#VALUE!</v>
      </c>
    </row>
    <row r="88" spans="1:18" ht="12.75" x14ac:dyDescent="0.2">
      <c r="A88" s="28" t="s">
        <v>11</v>
      </c>
      <c r="B88" s="33">
        <v>242.31700000000001</v>
      </c>
      <c r="C88" s="33">
        <v>264.10500000000002</v>
      </c>
      <c r="D88" s="28" t="s">
        <v>75</v>
      </c>
      <c r="E88" s="28" t="s">
        <v>75</v>
      </c>
      <c r="F88" s="33">
        <v>120.625</v>
      </c>
      <c r="G88" s="33">
        <v>124.642</v>
      </c>
      <c r="H88" s="24"/>
      <c r="J88" s="28" t="s">
        <v>229</v>
      </c>
      <c r="K88" s="28">
        <v>163.97</v>
      </c>
      <c r="L88" s="28">
        <v>129.61349999999999</v>
      </c>
      <c r="M88" s="28">
        <f t="shared" ref="M88:M90" si="1">(L88/K88)*100</f>
        <v>79.04708178325302</v>
      </c>
      <c r="Q88" s="27"/>
    </row>
    <row r="89" spans="1:18" ht="12.75" x14ac:dyDescent="0.2">
      <c r="A89" s="28" t="s">
        <v>12</v>
      </c>
      <c r="B89" s="33">
        <v>486.11200000000002</v>
      </c>
      <c r="C89" s="33">
        <v>511.19600000000003</v>
      </c>
      <c r="D89" s="28" t="s">
        <v>75</v>
      </c>
      <c r="E89" s="28" t="s">
        <v>75</v>
      </c>
      <c r="F89" s="33">
        <v>106.61</v>
      </c>
      <c r="G89" s="33">
        <v>127.059</v>
      </c>
      <c r="H89" s="24"/>
      <c r="J89" s="28" t="s">
        <v>230</v>
      </c>
      <c r="K89" s="28">
        <v>141.99</v>
      </c>
      <c r="L89" s="28">
        <v>122.6335</v>
      </c>
      <c r="M89" s="28">
        <f t="shared" si="1"/>
        <v>86.367701950841607</v>
      </c>
      <c r="O89" s="80" t="s">
        <v>320</v>
      </c>
      <c r="P89" s="68"/>
      <c r="Q89" s="68"/>
      <c r="R89" s="57"/>
    </row>
    <row r="90" spans="1:18" ht="12.75" x14ac:dyDescent="0.2">
      <c r="A90" s="28" t="s">
        <v>13</v>
      </c>
      <c r="B90" s="28">
        <v>1010.54</v>
      </c>
      <c r="C90" s="33">
        <v>989.93799999999999</v>
      </c>
      <c r="D90" s="28" t="s">
        <v>75</v>
      </c>
      <c r="E90" s="28" t="s">
        <v>75</v>
      </c>
      <c r="F90" s="33">
        <v>116.93899999999999</v>
      </c>
      <c r="G90" s="33">
        <v>120.331</v>
      </c>
      <c r="H90" s="24"/>
      <c r="J90" s="28" t="s">
        <v>231</v>
      </c>
      <c r="K90" s="28">
        <v>125</v>
      </c>
      <c r="L90" s="28">
        <v>116.83449999999999</v>
      </c>
      <c r="M90" s="28">
        <f t="shared" si="1"/>
        <v>93.46759999999999</v>
      </c>
      <c r="O90" s="52" t="s">
        <v>242</v>
      </c>
      <c r="P90" s="52" t="s">
        <v>243</v>
      </c>
      <c r="Q90" s="52" t="s">
        <v>244</v>
      </c>
      <c r="R90" s="58" t="s">
        <v>321</v>
      </c>
    </row>
    <row r="91" spans="1:18" ht="12.75" x14ac:dyDescent="0.2">
      <c r="A91" s="28" t="s">
        <v>14</v>
      </c>
      <c r="B91" s="28"/>
      <c r="C91" s="33">
        <v>126.003</v>
      </c>
      <c r="D91" s="28" t="s">
        <v>75</v>
      </c>
      <c r="E91" s="28" t="s">
        <v>75</v>
      </c>
      <c r="F91" s="33">
        <v>112.761</v>
      </c>
      <c r="G91" s="33">
        <v>112.104</v>
      </c>
      <c r="H91" s="24"/>
      <c r="O91" s="52">
        <v>224</v>
      </c>
      <c r="P91" s="52">
        <v>32</v>
      </c>
      <c r="Q91" s="13">
        <v>1000</v>
      </c>
      <c r="R91" s="28">
        <v>125</v>
      </c>
    </row>
    <row r="92" spans="1:18" ht="12.75" x14ac:dyDescent="0.2">
      <c r="O92" s="44"/>
      <c r="P92" s="44"/>
      <c r="Q92"/>
    </row>
    <row r="93" spans="1:18" ht="12.75" x14ac:dyDescent="0.2">
      <c r="A93" s="28" t="s">
        <v>15</v>
      </c>
      <c r="B93" s="28">
        <v>1</v>
      </c>
      <c r="C93" s="28">
        <v>2</v>
      </c>
      <c r="D93" s="28">
        <v>3</v>
      </c>
      <c r="E93" s="28">
        <v>4</v>
      </c>
      <c r="F93" s="28">
        <v>5</v>
      </c>
      <c r="G93" s="28">
        <v>6</v>
      </c>
      <c r="O93" s="44"/>
      <c r="P93" s="44"/>
      <c r="Q93"/>
    </row>
    <row r="94" spans="1:18" ht="12.75" x14ac:dyDescent="0.2">
      <c r="A94" s="28" t="s">
        <v>7</v>
      </c>
      <c r="B94" s="38" t="s">
        <v>207</v>
      </c>
      <c r="C94" s="28" t="s">
        <v>207</v>
      </c>
      <c r="D94" s="28" t="s">
        <v>194</v>
      </c>
      <c r="E94" s="28" t="s">
        <v>194</v>
      </c>
      <c r="F94" s="28" t="s">
        <v>197</v>
      </c>
      <c r="G94" s="28" t="s">
        <v>197</v>
      </c>
      <c r="K94" s="81" t="s">
        <v>226</v>
      </c>
      <c r="L94" s="81"/>
      <c r="O94" s="44"/>
      <c r="P94" s="44"/>
      <c r="Q94"/>
    </row>
    <row r="95" spans="1:18" ht="12.75" x14ac:dyDescent="0.2">
      <c r="A95" s="28" t="s">
        <v>8</v>
      </c>
      <c r="B95" s="38" t="s">
        <v>206</v>
      </c>
      <c r="C95" s="28" t="s">
        <v>206</v>
      </c>
      <c r="D95" s="28" t="s">
        <v>191</v>
      </c>
      <c r="E95" s="28" t="s">
        <v>191</v>
      </c>
      <c r="F95" s="28" t="s">
        <v>198</v>
      </c>
      <c r="G95" s="28" t="s">
        <v>198</v>
      </c>
      <c r="J95" s="79" t="s">
        <v>318</v>
      </c>
      <c r="K95" s="79"/>
      <c r="L95" s="79"/>
      <c r="M95" s="57"/>
      <c r="Q95" s="27"/>
    </row>
    <row r="96" spans="1:18" ht="12.75" x14ac:dyDescent="0.2">
      <c r="A96" s="28" t="s">
        <v>9</v>
      </c>
      <c r="B96" s="38" t="s">
        <v>205</v>
      </c>
      <c r="C96" s="28" t="s">
        <v>205</v>
      </c>
      <c r="D96" s="28" t="s">
        <v>208</v>
      </c>
      <c r="E96" s="28" t="s">
        <v>208</v>
      </c>
      <c r="F96" s="28" t="s">
        <v>210</v>
      </c>
      <c r="G96" s="28" t="s">
        <v>211</v>
      </c>
      <c r="J96" s="28" t="s">
        <v>219</v>
      </c>
      <c r="K96" s="28" t="s">
        <v>220</v>
      </c>
      <c r="L96" s="28" t="s">
        <v>221</v>
      </c>
      <c r="M96" s="28" t="s">
        <v>222</v>
      </c>
      <c r="Q96" s="27"/>
    </row>
    <row r="97" spans="1:17" ht="12.75" x14ac:dyDescent="0.2">
      <c r="A97" s="28" t="s">
        <v>10</v>
      </c>
      <c r="B97" s="38" t="s">
        <v>204</v>
      </c>
      <c r="C97" s="28" t="s">
        <v>204</v>
      </c>
      <c r="D97" s="28" t="s">
        <v>192</v>
      </c>
      <c r="E97" s="28" t="s">
        <v>192</v>
      </c>
      <c r="F97" s="28" t="s">
        <v>213</v>
      </c>
      <c r="G97" s="28" t="s">
        <v>213</v>
      </c>
      <c r="J97" s="28">
        <v>1</v>
      </c>
      <c r="K97" s="28" t="s">
        <v>217</v>
      </c>
      <c r="L97" s="28"/>
      <c r="M97" s="28"/>
      <c r="Q97" s="27"/>
    </row>
    <row r="98" spans="1:17" ht="12.75" x14ac:dyDescent="0.2">
      <c r="A98" s="28" t="s">
        <v>11</v>
      </c>
      <c r="B98" s="38" t="s">
        <v>203</v>
      </c>
      <c r="C98" s="28" t="s">
        <v>203</v>
      </c>
      <c r="D98" s="28" t="s">
        <v>193</v>
      </c>
      <c r="E98" s="28" t="s">
        <v>193</v>
      </c>
      <c r="F98" s="28" t="s">
        <v>214</v>
      </c>
      <c r="G98" s="28" t="s">
        <v>214</v>
      </c>
      <c r="J98" s="28">
        <v>5</v>
      </c>
      <c r="K98" s="28" t="s">
        <v>217</v>
      </c>
      <c r="L98" s="28"/>
      <c r="M98" s="28"/>
    </row>
    <row r="99" spans="1:17" ht="12.75" x14ac:dyDescent="0.2">
      <c r="A99" s="28" t="s">
        <v>12</v>
      </c>
      <c r="B99" s="38" t="s">
        <v>202</v>
      </c>
      <c r="C99" s="28" t="s">
        <v>202</v>
      </c>
      <c r="D99" s="28" t="s">
        <v>195</v>
      </c>
      <c r="E99" s="28" t="s">
        <v>195</v>
      </c>
      <c r="F99" s="28" t="s">
        <v>227</v>
      </c>
      <c r="G99" s="28" t="s">
        <v>227</v>
      </c>
      <c r="J99" s="28">
        <v>50</v>
      </c>
      <c r="K99" s="28" t="s">
        <v>217</v>
      </c>
      <c r="L99" s="28"/>
      <c r="M99" s="28"/>
    </row>
    <row r="100" spans="1:17" ht="12.75" x14ac:dyDescent="0.2">
      <c r="A100" s="28" t="s">
        <v>13</v>
      </c>
      <c r="B100" s="38" t="s">
        <v>201</v>
      </c>
      <c r="C100" s="28" t="s">
        <v>201</v>
      </c>
      <c r="D100" s="28" t="s">
        <v>196</v>
      </c>
      <c r="E100" s="28" t="s">
        <v>196</v>
      </c>
      <c r="F100" s="28" t="s">
        <v>215</v>
      </c>
      <c r="G100" s="28" t="s">
        <v>215</v>
      </c>
      <c r="J100" s="28">
        <v>100</v>
      </c>
      <c r="K100" s="28" t="s">
        <v>217</v>
      </c>
      <c r="L100" s="28"/>
      <c r="M100" s="28"/>
    </row>
    <row r="101" spans="1:17" ht="12.75" x14ac:dyDescent="0.2">
      <c r="A101" s="28" t="s">
        <v>14</v>
      </c>
      <c r="B101" s="38" t="s">
        <v>37</v>
      </c>
      <c r="C101" s="28" t="s">
        <v>212</v>
      </c>
      <c r="D101" s="28" t="s">
        <v>209</v>
      </c>
      <c r="E101" s="28" t="s">
        <v>209</v>
      </c>
      <c r="F101" s="28" t="s">
        <v>216</v>
      </c>
      <c r="G101" s="28" t="s">
        <v>216</v>
      </c>
      <c r="J101" s="28">
        <v>500</v>
      </c>
      <c r="K101" s="28" t="s">
        <v>217</v>
      </c>
      <c r="L101" s="28"/>
      <c r="M101" s="28"/>
    </row>
    <row r="103" spans="1:17" ht="12.75" x14ac:dyDescent="0.2">
      <c r="A103" s="19" t="s">
        <v>76</v>
      </c>
      <c r="J103" s="79" t="s">
        <v>319</v>
      </c>
      <c r="K103" s="79"/>
      <c r="L103" s="79"/>
      <c r="M103" s="79"/>
    </row>
    <row r="104" spans="1:17" ht="15" customHeight="1" x14ac:dyDescent="0.2">
      <c r="J104" s="28"/>
      <c r="K104" s="28" t="s">
        <v>223</v>
      </c>
      <c r="L104" s="28" t="s">
        <v>224</v>
      </c>
      <c r="M104" s="28" t="s">
        <v>222</v>
      </c>
    </row>
    <row r="105" spans="1:17" ht="15" customHeight="1" x14ac:dyDescent="0.2">
      <c r="E105" s="39" t="s">
        <v>199</v>
      </c>
      <c r="F105" s="39"/>
      <c r="J105" s="28" t="s">
        <v>234</v>
      </c>
      <c r="K105" s="28">
        <v>125</v>
      </c>
      <c r="L105" s="32">
        <v>63.4099</v>
      </c>
      <c r="M105" s="28">
        <f>(L105/K105)*100</f>
        <v>50.727920000000005</v>
      </c>
    </row>
    <row r="106" spans="1:17" ht="15" customHeight="1" x14ac:dyDescent="0.2">
      <c r="E106" s="40" t="s">
        <v>200</v>
      </c>
      <c r="F106" s="40"/>
      <c r="J106" s="28" t="s">
        <v>232</v>
      </c>
      <c r="K106" s="28">
        <v>125</v>
      </c>
      <c r="L106" s="28">
        <v>118.63499999999999</v>
      </c>
      <c r="M106" s="28">
        <f>(L106/K106)*100</f>
        <v>94.907999999999987</v>
      </c>
    </row>
    <row r="107" spans="1:17" ht="15" customHeight="1" x14ac:dyDescent="0.2">
      <c r="E107" s="41" t="s">
        <v>236</v>
      </c>
      <c r="F107" s="41"/>
      <c r="G107" s="41"/>
      <c r="H107" s="41"/>
      <c r="I107" s="41"/>
      <c r="J107" s="28" t="s">
        <v>233</v>
      </c>
      <c r="K107" s="28">
        <v>125</v>
      </c>
      <c r="L107" s="28">
        <v>112.4325</v>
      </c>
      <c r="M107" s="28">
        <f t="shared" ref="M107:M108" si="2">(L107/K107)*100</f>
        <v>89.945999999999998</v>
      </c>
    </row>
    <row r="108" spans="1:17" ht="15" customHeight="1" x14ac:dyDescent="0.2">
      <c r="J108" s="28" t="s">
        <v>235</v>
      </c>
      <c r="K108" s="28">
        <v>125</v>
      </c>
      <c r="L108" s="28">
        <v>126.003</v>
      </c>
      <c r="M108" s="28">
        <f t="shared" si="2"/>
        <v>100.80240000000001</v>
      </c>
    </row>
  </sheetData>
  <mergeCells count="7">
    <mergeCell ref="J77:M77"/>
    <mergeCell ref="J85:M85"/>
    <mergeCell ref="J103:M103"/>
    <mergeCell ref="O89:Q89"/>
    <mergeCell ref="N79:Q81"/>
    <mergeCell ref="K94:L94"/>
    <mergeCell ref="J95:L9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C06F3-791F-454B-BFB4-EAA5A5153F90}">
  <dimension ref="A1:T103"/>
  <sheetViews>
    <sheetView topLeftCell="A63" workbookViewId="0">
      <selection activeCell="J74" sqref="J74:J77"/>
    </sheetView>
  </sheetViews>
  <sheetFormatPr defaultColWidth="9.140625" defaultRowHeight="15" customHeight="1" x14ac:dyDescent="0.2"/>
  <cols>
    <col min="1" max="3" width="10.7109375" customWidth="1"/>
    <col min="4" max="5" width="19.85546875" customWidth="1"/>
    <col min="6" max="7" width="21.85546875" customWidth="1"/>
    <col min="8" max="8" width="4.140625" customWidth="1"/>
    <col min="9" max="9" width="20.5703125" customWidth="1"/>
    <col min="10" max="12" width="14.42578125" customWidth="1"/>
    <col min="14" max="14" width="9.140625" style="44"/>
    <col min="15" max="16" width="18.7109375" style="44" customWidth="1"/>
    <col min="17" max="17" width="18.140625" style="44" customWidth="1"/>
    <col min="18" max="19" width="14.85546875" customWidth="1"/>
    <col min="20" max="20" width="17.7109375" customWidth="1"/>
  </cols>
  <sheetData>
    <row r="1" spans="1:1" ht="15" customHeight="1" x14ac:dyDescent="0.2">
      <c r="A1" t="s">
        <v>0</v>
      </c>
    </row>
    <row r="2" spans="1:1" ht="15" customHeight="1" x14ac:dyDescent="0.2">
      <c r="A2" t="s">
        <v>237</v>
      </c>
    </row>
    <row r="3" spans="1:1" ht="15" customHeight="1" x14ac:dyDescent="0.2">
      <c r="A3" t="s">
        <v>238</v>
      </c>
    </row>
    <row r="4" spans="1:1" ht="15" customHeight="1" x14ac:dyDescent="0.2">
      <c r="A4" t="s">
        <v>3</v>
      </c>
    </row>
    <row r="5" spans="1:1" ht="15" customHeight="1" x14ac:dyDescent="0.2">
      <c r="A5" t="s">
        <v>77</v>
      </c>
    </row>
    <row r="7" spans="1:1" ht="15" customHeight="1" x14ac:dyDescent="0.2">
      <c r="A7" t="s">
        <v>41</v>
      </c>
    </row>
    <row r="8" spans="1:1" ht="15" customHeight="1" x14ac:dyDescent="0.2">
      <c r="A8" t="s">
        <v>42</v>
      </c>
    </row>
    <row r="9" spans="1:1" ht="15" customHeight="1" x14ac:dyDescent="0.2">
      <c r="A9" t="s">
        <v>43</v>
      </c>
    </row>
    <row r="10" spans="1:1" ht="15" customHeight="1" x14ac:dyDescent="0.2">
      <c r="A10" t="s">
        <v>5</v>
      </c>
    </row>
    <row r="11" spans="1:1" ht="15" customHeight="1" x14ac:dyDescent="0.2">
      <c r="A11" t="s">
        <v>44</v>
      </c>
    </row>
    <row r="12" spans="1:1" ht="15" customHeight="1" x14ac:dyDescent="0.2">
      <c r="A12" t="s">
        <v>45</v>
      </c>
    </row>
    <row r="13" spans="1:1" ht="15" customHeight="1" x14ac:dyDescent="0.2">
      <c r="A13" t="s">
        <v>3</v>
      </c>
    </row>
    <row r="15" spans="1:1" ht="15" customHeight="1" x14ac:dyDescent="0.2">
      <c r="A15" t="s">
        <v>3</v>
      </c>
    </row>
    <row r="25" ht="12.75" x14ac:dyDescent="0.2"/>
    <row r="26" ht="12.75" x14ac:dyDescent="0.2"/>
    <row r="27" ht="12.75" x14ac:dyDescent="0.2"/>
    <row r="28" ht="12.75" x14ac:dyDescent="0.2"/>
    <row r="29" ht="12.75" x14ac:dyDescent="0.2"/>
    <row r="30" ht="12.75" x14ac:dyDescent="0.2"/>
    <row r="31" ht="12.75" x14ac:dyDescent="0.2"/>
    <row r="32" ht="12.75" x14ac:dyDescent="0.2"/>
    <row r="33" spans="1:7" ht="12.75" x14ac:dyDescent="0.2"/>
    <row r="34" spans="1:7" ht="12.75" x14ac:dyDescent="0.2"/>
    <row r="35" spans="1:7" ht="12.75" x14ac:dyDescent="0.2"/>
    <row r="36" spans="1:7" ht="12.75" x14ac:dyDescent="0.2">
      <c r="A36" t="s">
        <v>239</v>
      </c>
    </row>
    <row r="37" spans="1:7" ht="12.75" x14ac:dyDescent="0.2"/>
    <row r="38" spans="1:7" ht="12.75" x14ac:dyDescent="0.2">
      <c r="A38" t="s">
        <v>46</v>
      </c>
    </row>
    <row r="39" spans="1:7" ht="12.75" x14ac:dyDescent="0.2">
      <c r="A39" t="s">
        <v>47</v>
      </c>
    </row>
    <row r="40" spans="1:7" ht="12.75" x14ac:dyDescent="0.2">
      <c r="A40" t="s">
        <v>48</v>
      </c>
      <c r="B40" s="45">
        <v>1.0743900000000001E-2</v>
      </c>
    </row>
    <row r="41" spans="1:7" ht="12.75" x14ac:dyDescent="0.2">
      <c r="A41" t="s">
        <v>49</v>
      </c>
      <c r="B41" s="46">
        <v>1.28101</v>
      </c>
    </row>
    <row r="42" spans="1:7" ht="12.75" x14ac:dyDescent="0.2">
      <c r="A42" t="s">
        <v>50</v>
      </c>
      <c r="B42" s="47">
        <v>1552.51</v>
      </c>
    </row>
    <row r="43" spans="1:7" ht="12.75" x14ac:dyDescent="0.2">
      <c r="A43" t="s">
        <v>51</v>
      </c>
      <c r="B43" s="46">
        <v>5.7935299999999996</v>
      </c>
    </row>
    <row r="44" spans="1:7" ht="12.75" x14ac:dyDescent="0.2"/>
    <row r="45" spans="1:7" ht="12.75" x14ac:dyDescent="0.2">
      <c r="A45" t="s">
        <v>52</v>
      </c>
    </row>
    <row r="46" spans="1:7" ht="12.75" x14ac:dyDescent="0.2">
      <c r="A46" t="s">
        <v>3</v>
      </c>
    </row>
    <row r="47" spans="1:7" ht="12.75" x14ac:dyDescent="0.2">
      <c r="A47" t="s">
        <v>53</v>
      </c>
      <c r="B47" t="s">
        <v>15</v>
      </c>
      <c r="C47" t="s">
        <v>240</v>
      </c>
      <c r="D47" t="s">
        <v>55</v>
      </c>
      <c r="E47" t="s">
        <v>56</v>
      </c>
      <c r="F47" t="s">
        <v>57</v>
      </c>
      <c r="G47" t="s">
        <v>58</v>
      </c>
    </row>
    <row r="48" spans="1:7" ht="12.75" x14ac:dyDescent="0.2">
      <c r="A48" t="s">
        <v>59</v>
      </c>
      <c r="B48" t="s">
        <v>34</v>
      </c>
      <c r="C48">
        <v>1000</v>
      </c>
      <c r="D48" s="46">
        <v>2.1081300000000001</v>
      </c>
      <c r="E48" s="46">
        <v>1.3691800000000001</v>
      </c>
      <c r="F48" s="46">
        <v>2.1084100000000001</v>
      </c>
      <c r="G48" s="48">
        <v>-2.7932899999999998E-4</v>
      </c>
    </row>
    <row r="49" spans="1:7" ht="12.75" x14ac:dyDescent="0.2">
      <c r="A49" t="s">
        <v>60</v>
      </c>
      <c r="B49" t="s">
        <v>34</v>
      </c>
      <c r="C49">
        <v>1000</v>
      </c>
      <c r="D49" s="46">
        <v>2.08772</v>
      </c>
      <c r="F49" s="46">
        <v>2.1084100000000001</v>
      </c>
      <c r="G49" s="45">
        <v>-2.0689300000000001E-2</v>
      </c>
    </row>
    <row r="50" spans="1:7" ht="12.75" x14ac:dyDescent="0.2">
      <c r="A50" t="s">
        <v>61</v>
      </c>
      <c r="B50" t="s">
        <v>34</v>
      </c>
      <c r="C50">
        <v>1000</v>
      </c>
      <c r="D50" s="46">
        <v>2.1285400000000001</v>
      </c>
      <c r="F50" s="46">
        <v>2.1084100000000001</v>
      </c>
      <c r="G50" s="45">
        <v>2.0130700000000001E-2</v>
      </c>
    </row>
    <row r="51" spans="1:7" ht="12.75" x14ac:dyDescent="0.2">
      <c r="A51" t="s">
        <v>59</v>
      </c>
      <c r="B51" t="s">
        <v>31</v>
      </c>
      <c r="C51" s="49">
        <v>500</v>
      </c>
      <c r="D51" s="46">
        <v>1.1101399999999999</v>
      </c>
      <c r="E51" s="46">
        <v>3.1045099999999999</v>
      </c>
      <c r="F51" s="46">
        <v>1.10823</v>
      </c>
      <c r="G51" s="50">
        <v>1.9086299999999999E-3</v>
      </c>
    </row>
    <row r="52" spans="1:7" ht="12.75" x14ac:dyDescent="0.2">
      <c r="A52" t="s">
        <v>62</v>
      </c>
      <c r="B52" t="s">
        <v>31</v>
      </c>
      <c r="C52" s="49">
        <v>500</v>
      </c>
      <c r="D52" s="46">
        <v>1.0857699999999999</v>
      </c>
      <c r="F52" s="46">
        <v>1.10823</v>
      </c>
      <c r="G52" s="45">
        <v>-2.2461399999999999E-2</v>
      </c>
    </row>
    <row r="53" spans="1:7" ht="12.75" x14ac:dyDescent="0.2">
      <c r="A53" t="s">
        <v>63</v>
      </c>
      <c r="B53" t="s">
        <v>31</v>
      </c>
      <c r="C53" s="49">
        <v>500</v>
      </c>
      <c r="D53" s="46">
        <v>1.1345099999999999</v>
      </c>
      <c r="F53" s="46">
        <v>1.10823</v>
      </c>
      <c r="G53" s="45">
        <v>2.6278599999999999E-2</v>
      </c>
    </row>
    <row r="54" spans="1:7" ht="12.75" x14ac:dyDescent="0.2">
      <c r="A54" t="s">
        <v>59</v>
      </c>
      <c r="B54" t="s">
        <v>28</v>
      </c>
      <c r="C54" s="49">
        <v>250</v>
      </c>
      <c r="D54" s="51">
        <v>0.51409000000000005</v>
      </c>
      <c r="E54" s="51">
        <v>0.99692899999999995</v>
      </c>
      <c r="F54" s="51">
        <v>0.51915</v>
      </c>
      <c r="G54" s="50">
        <v>-5.0601200000000004E-3</v>
      </c>
    </row>
    <row r="55" spans="1:7" ht="12.75" x14ac:dyDescent="0.2">
      <c r="A55" t="s">
        <v>64</v>
      </c>
      <c r="B55" t="s">
        <v>28</v>
      </c>
      <c r="C55" s="49">
        <v>250</v>
      </c>
      <c r="D55" s="51">
        <v>0.51046599999999998</v>
      </c>
      <c r="F55" s="51">
        <v>0.51915</v>
      </c>
      <c r="G55" s="50">
        <v>-8.68412E-3</v>
      </c>
    </row>
    <row r="56" spans="1:7" ht="12.75" x14ac:dyDescent="0.2">
      <c r="A56" t="s">
        <v>65</v>
      </c>
      <c r="B56" t="s">
        <v>28</v>
      </c>
      <c r="C56" s="49">
        <v>250</v>
      </c>
      <c r="D56" s="51">
        <v>0.51771400000000001</v>
      </c>
      <c r="F56" s="51">
        <v>0.51915</v>
      </c>
      <c r="G56" s="50">
        <v>-1.4361199999999999E-3</v>
      </c>
    </row>
    <row r="57" spans="1:7" ht="12.75" x14ac:dyDescent="0.2">
      <c r="A57" t="s">
        <v>59</v>
      </c>
      <c r="B57" t="s">
        <v>25</v>
      </c>
      <c r="C57" s="49">
        <v>125</v>
      </c>
      <c r="D57" s="51">
        <v>0.23618900000000001</v>
      </c>
      <c r="E57" s="46">
        <v>1.7950900000000001</v>
      </c>
      <c r="F57" s="51">
        <v>0.23137199999999999</v>
      </c>
      <c r="G57" s="50">
        <v>4.81716E-3</v>
      </c>
    </row>
    <row r="58" spans="1:7" ht="12.75" x14ac:dyDescent="0.2">
      <c r="A58" t="s">
        <v>66</v>
      </c>
      <c r="B58" t="s">
        <v>25</v>
      </c>
      <c r="C58" s="49">
        <v>125</v>
      </c>
      <c r="D58" s="51">
        <v>0.23319100000000001</v>
      </c>
      <c r="F58" s="51">
        <v>0.23137199999999999</v>
      </c>
      <c r="G58" s="50">
        <v>1.81916E-3</v>
      </c>
    </row>
    <row r="59" spans="1:7" ht="12.75" x14ac:dyDescent="0.2">
      <c r="A59" t="s">
        <v>67</v>
      </c>
      <c r="B59" t="s">
        <v>25</v>
      </c>
      <c r="C59" s="49">
        <v>125</v>
      </c>
      <c r="D59" s="51">
        <v>0.23918700000000001</v>
      </c>
      <c r="F59" s="51">
        <v>0.23137199999999999</v>
      </c>
      <c r="G59" s="50">
        <v>7.8151599999999998E-3</v>
      </c>
    </row>
    <row r="60" spans="1:7" ht="12.75" x14ac:dyDescent="0.2">
      <c r="A60" t="s">
        <v>59</v>
      </c>
      <c r="B60" t="s">
        <v>22</v>
      </c>
      <c r="C60" s="42">
        <v>62.5</v>
      </c>
      <c r="D60" s="51">
        <v>0.104273</v>
      </c>
      <c r="E60" s="46">
        <v>5.6474799999999998</v>
      </c>
      <c r="F60" s="51">
        <v>0.103619</v>
      </c>
      <c r="G60" s="48">
        <v>6.5372800000000001E-4</v>
      </c>
    </row>
    <row r="61" spans="1:7" ht="12.75" x14ac:dyDescent="0.2">
      <c r="A61" t="s">
        <v>68</v>
      </c>
      <c r="B61" t="s">
        <v>22</v>
      </c>
      <c r="C61" s="42">
        <v>62.5</v>
      </c>
      <c r="D61" s="51">
        <v>0.100109</v>
      </c>
      <c r="F61" s="51">
        <v>0.103619</v>
      </c>
      <c r="G61" s="50">
        <v>-3.5102699999999998E-3</v>
      </c>
    </row>
    <row r="62" spans="1:7" ht="12.75" x14ac:dyDescent="0.2">
      <c r="A62" t="s">
        <v>69</v>
      </c>
      <c r="B62" t="s">
        <v>22</v>
      </c>
      <c r="C62" s="42">
        <v>62.5</v>
      </c>
      <c r="D62" s="51">
        <v>0.10843700000000001</v>
      </c>
      <c r="F62" s="51">
        <v>0.103619</v>
      </c>
      <c r="G62" s="50">
        <v>4.8177300000000001E-3</v>
      </c>
    </row>
    <row r="63" spans="1:7" ht="12.75" x14ac:dyDescent="0.2">
      <c r="A63" t="s">
        <v>59</v>
      </c>
      <c r="B63" t="s">
        <v>19</v>
      </c>
      <c r="C63" s="42">
        <v>31.25</v>
      </c>
      <c r="D63" s="45">
        <v>4.8127900000000001E-2</v>
      </c>
      <c r="E63" s="46">
        <v>5.0539800000000001</v>
      </c>
      <c r="F63" s="45">
        <v>4.93274E-2</v>
      </c>
      <c r="G63" s="50">
        <v>-1.1995E-3</v>
      </c>
    </row>
    <row r="64" spans="1:7" ht="12.75" x14ac:dyDescent="0.2">
      <c r="A64" t="s">
        <v>70</v>
      </c>
      <c r="B64" t="s">
        <v>19</v>
      </c>
      <c r="C64" s="42">
        <v>31.25</v>
      </c>
      <c r="D64" s="45">
        <v>4.9847900000000001E-2</v>
      </c>
      <c r="F64" s="45">
        <v>4.93274E-2</v>
      </c>
      <c r="G64" s="48">
        <v>5.2044799999999996E-4</v>
      </c>
    </row>
    <row r="65" spans="1:20" ht="12.75" x14ac:dyDescent="0.2">
      <c r="A65" t="s">
        <v>71</v>
      </c>
      <c r="B65" t="s">
        <v>19</v>
      </c>
      <c r="C65" s="42">
        <v>31.25</v>
      </c>
      <c r="D65" s="45">
        <v>4.6407999999999998E-2</v>
      </c>
      <c r="F65" s="45">
        <v>4.93274E-2</v>
      </c>
      <c r="G65" s="50">
        <v>-2.9194500000000001E-3</v>
      </c>
    </row>
    <row r="66" spans="1:20" ht="12.75" x14ac:dyDescent="0.2">
      <c r="A66" t="s">
        <v>59</v>
      </c>
      <c r="B66" t="s">
        <v>16</v>
      </c>
      <c r="C66" s="42">
        <v>15.625</v>
      </c>
      <c r="D66" s="45">
        <v>2.58433E-2</v>
      </c>
      <c r="E66" s="46">
        <v>7.8267100000000003</v>
      </c>
      <c r="F66" s="45">
        <v>2.66839E-2</v>
      </c>
      <c r="G66" s="48">
        <v>-8.40576E-4</v>
      </c>
    </row>
    <row r="67" spans="1:20" ht="12.75" x14ac:dyDescent="0.2">
      <c r="A67" t="s">
        <v>72</v>
      </c>
      <c r="B67" t="s">
        <v>16</v>
      </c>
      <c r="C67" s="42">
        <v>15.625</v>
      </c>
      <c r="D67" s="45">
        <v>2.7273499999999999E-2</v>
      </c>
      <c r="F67" s="45">
        <v>2.66839E-2</v>
      </c>
      <c r="G67" s="48">
        <v>5.8967399999999999E-4</v>
      </c>
    </row>
    <row r="68" spans="1:20" ht="12.75" x14ac:dyDescent="0.2">
      <c r="A68" t="s">
        <v>73</v>
      </c>
      <c r="B68" t="s">
        <v>16</v>
      </c>
      <c r="C68" s="42">
        <v>15.625</v>
      </c>
      <c r="D68" s="45">
        <v>2.4413000000000001E-2</v>
      </c>
      <c r="F68" s="45">
        <v>2.66839E-2</v>
      </c>
      <c r="G68" s="50">
        <v>-2.2708300000000002E-3</v>
      </c>
    </row>
    <row r="69" spans="1:20" ht="12.75" x14ac:dyDescent="0.2"/>
    <row r="70" spans="1:20" ht="12.75" x14ac:dyDescent="0.2"/>
    <row r="71" spans="1:20" ht="12.75" x14ac:dyDescent="0.2">
      <c r="A71" t="s">
        <v>6</v>
      </c>
    </row>
    <row r="72" spans="1:20" ht="13.5" thickBot="1" x14ac:dyDescent="0.25">
      <c r="A72" t="s">
        <v>3</v>
      </c>
      <c r="I72" s="78" t="s">
        <v>318</v>
      </c>
      <c r="J72" s="78"/>
      <c r="K72" s="78"/>
      <c r="L72" s="64"/>
    </row>
    <row r="73" spans="1:20" ht="12.75" x14ac:dyDescent="0.2">
      <c r="A73" s="13" t="s">
        <v>74</v>
      </c>
      <c r="B73" s="14">
        <v>1</v>
      </c>
      <c r="C73" s="14">
        <v>2</v>
      </c>
      <c r="D73" s="14">
        <v>3</v>
      </c>
      <c r="E73" s="14">
        <v>4</v>
      </c>
      <c r="F73" s="14">
        <v>5</v>
      </c>
      <c r="G73" s="14">
        <v>6</v>
      </c>
      <c r="H73" s="1"/>
      <c r="I73" s="28" t="s">
        <v>219</v>
      </c>
      <c r="J73" s="13" t="s">
        <v>220</v>
      </c>
      <c r="K73" s="13" t="s">
        <v>221</v>
      </c>
      <c r="L73" s="65" t="s">
        <v>222</v>
      </c>
      <c r="M73" s="69" t="s">
        <v>322</v>
      </c>
      <c r="N73" s="70"/>
      <c r="O73" s="70"/>
      <c r="P73" s="71"/>
    </row>
    <row r="74" spans="1:20" ht="12.75" x14ac:dyDescent="0.2">
      <c r="A74" s="13" t="s">
        <v>7</v>
      </c>
      <c r="B74" s="17">
        <v>2.7273499999999999E-2</v>
      </c>
      <c r="C74" s="17">
        <v>2.4413000000000001E-2</v>
      </c>
      <c r="D74" s="18">
        <v>0.130302</v>
      </c>
      <c r="E74" s="18">
        <v>0.116851</v>
      </c>
      <c r="F74" s="18">
        <v>0.13935700000000001</v>
      </c>
      <c r="G74" s="18">
        <v>0.12923299999999999</v>
      </c>
      <c r="I74" s="28">
        <v>25</v>
      </c>
      <c r="J74" s="28">
        <v>72.937049999999999</v>
      </c>
      <c r="K74" s="13">
        <f>(I74*J74)</f>
        <v>1823.42625</v>
      </c>
      <c r="L74" s="65"/>
      <c r="M74" s="72"/>
      <c r="N74" s="73"/>
      <c r="O74" s="73"/>
      <c r="P74" s="74"/>
    </row>
    <row r="75" spans="1:20" ht="13.5" thickBot="1" x14ac:dyDescent="0.25">
      <c r="A75" s="13" t="s">
        <v>8</v>
      </c>
      <c r="B75" s="17">
        <v>4.9847900000000001E-2</v>
      </c>
      <c r="C75" s="17">
        <v>4.6407999999999998E-2</v>
      </c>
      <c r="D75" s="17">
        <v>8.0482899999999996E-2</v>
      </c>
      <c r="E75" s="17">
        <v>7.9301800000000006E-2</v>
      </c>
      <c r="F75" s="18">
        <v>0.77042600000000006</v>
      </c>
      <c r="G75" s="18">
        <v>0.66091699999999998</v>
      </c>
      <c r="I75" s="28">
        <v>50</v>
      </c>
      <c r="J75" s="28">
        <v>49.482749999999996</v>
      </c>
      <c r="K75" s="13">
        <f t="shared" ref="K75:K78" si="0">(I75*J75)</f>
        <v>2474.1374999999998</v>
      </c>
      <c r="L75" s="65"/>
      <c r="M75" s="75"/>
      <c r="N75" s="76"/>
      <c r="O75" s="76"/>
      <c r="P75" s="77"/>
    </row>
    <row r="76" spans="1:20" ht="12.75" x14ac:dyDescent="0.2">
      <c r="A76" s="13" t="s">
        <v>9</v>
      </c>
      <c r="B76" s="18">
        <v>0.100109</v>
      </c>
      <c r="C76" s="18">
        <v>0.10843700000000001</v>
      </c>
      <c r="D76" s="17">
        <v>3.4786400000000002E-2</v>
      </c>
      <c r="E76" s="17">
        <v>3.1532900000000003E-2</v>
      </c>
      <c r="F76" s="18">
        <v>0.38225999999999999</v>
      </c>
      <c r="G76" s="18">
        <v>0.33996599999999999</v>
      </c>
      <c r="I76" s="28">
        <v>100</v>
      </c>
      <c r="J76" s="28">
        <v>20.398350000000001</v>
      </c>
      <c r="K76" s="13">
        <f t="shared" si="0"/>
        <v>2039.835</v>
      </c>
      <c r="L76" s="13"/>
    </row>
    <row r="77" spans="1:20" ht="12.75" x14ac:dyDescent="0.2">
      <c r="A77" s="13" t="s">
        <v>10</v>
      </c>
      <c r="B77" s="18">
        <v>0.23319100000000001</v>
      </c>
      <c r="C77" s="18">
        <v>0.23918700000000001</v>
      </c>
      <c r="D77" s="34">
        <v>6.2287499999999999E-3</v>
      </c>
      <c r="E77" s="17">
        <v>1.11377E-2</v>
      </c>
      <c r="F77" s="18">
        <v>0.17371200000000001</v>
      </c>
      <c r="G77" s="18">
        <v>0.190362</v>
      </c>
      <c r="I77" s="28">
        <v>200</v>
      </c>
      <c r="J77" s="28">
        <v>0.86741800000000002</v>
      </c>
      <c r="K77" s="13">
        <f t="shared" si="0"/>
        <v>173.4836</v>
      </c>
      <c r="L77" s="13"/>
    </row>
    <row r="78" spans="1:20" ht="12.75" x14ac:dyDescent="0.2">
      <c r="A78" s="13" t="s">
        <v>11</v>
      </c>
      <c r="B78" s="18">
        <v>0.51046599999999998</v>
      </c>
      <c r="C78" s="18">
        <v>0.51771400000000001</v>
      </c>
      <c r="D78" s="34">
        <v>1.73895E-3</v>
      </c>
      <c r="E78" s="35">
        <v>-4.5635000000000001E-4</v>
      </c>
      <c r="F78" s="18">
        <v>0.110638</v>
      </c>
      <c r="G78" s="17">
        <v>9.9473900000000004E-2</v>
      </c>
      <c r="I78" s="28">
        <v>400</v>
      </c>
      <c r="J78" s="28" t="s">
        <v>217</v>
      </c>
      <c r="K78" s="13" t="e">
        <f t="shared" si="0"/>
        <v>#VALUE!</v>
      </c>
      <c r="L78" s="13"/>
    </row>
    <row r="79" spans="1:20" ht="12.75" x14ac:dyDescent="0.2">
      <c r="A79" s="13" t="s">
        <v>12</v>
      </c>
      <c r="B79" s="16">
        <v>1.0857699999999999</v>
      </c>
      <c r="C79" s="16">
        <v>1.1345099999999999</v>
      </c>
      <c r="D79" s="18">
        <v>0.77675399999999994</v>
      </c>
      <c r="E79" s="18">
        <v>0.74289400000000005</v>
      </c>
      <c r="F79" s="18">
        <v>0.32311200000000001</v>
      </c>
      <c r="G79" s="18">
        <v>0.28777799999999998</v>
      </c>
      <c r="I79" s="19"/>
    </row>
    <row r="80" spans="1:20" ht="12.75" x14ac:dyDescent="0.2">
      <c r="A80" s="13" t="s">
        <v>13</v>
      </c>
      <c r="B80" s="16">
        <v>2.08772</v>
      </c>
      <c r="C80" s="16">
        <v>2.1285400000000001</v>
      </c>
      <c r="D80" s="18">
        <v>0.36776900000000001</v>
      </c>
      <c r="E80" s="18">
        <v>0.34525899999999998</v>
      </c>
      <c r="F80" s="18">
        <v>0.36136400000000002</v>
      </c>
      <c r="G80" s="18">
        <v>0.33207700000000001</v>
      </c>
      <c r="N80" s="56"/>
      <c r="O80" s="56"/>
      <c r="P80" s="68" t="s">
        <v>320</v>
      </c>
      <c r="Q80" s="68"/>
      <c r="R80" s="68"/>
      <c r="S80" s="59"/>
      <c r="T80" s="59"/>
    </row>
    <row r="81" spans="1:20" ht="12.75" x14ac:dyDescent="0.2">
      <c r="A81" s="13" t="s">
        <v>14</v>
      </c>
      <c r="B81" s="13"/>
      <c r="C81" s="13"/>
      <c r="D81" s="18">
        <v>0.22362799999999999</v>
      </c>
      <c r="E81" s="18">
        <v>0.206091</v>
      </c>
      <c r="F81" s="18">
        <v>0.360684</v>
      </c>
      <c r="G81" s="18">
        <v>0.36512</v>
      </c>
      <c r="N81" s="52"/>
      <c r="O81" s="52" t="s">
        <v>241</v>
      </c>
      <c r="P81" s="52" t="s">
        <v>242</v>
      </c>
      <c r="Q81" s="52" t="s">
        <v>243</v>
      </c>
      <c r="R81" s="52" t="s">
        <v>244</v>
      </c>
      <c r="S81" s="52" t="s">
        <v>245</v>
      </c>
      <c r="T81" s="13" t="s">
        <v>368</v>
      </c>
    </row>
    <row r="82" spans="1:20" ht="12.75" x14ac:dyDescent="0.2">
      <c r="I82" s="78" t="s">
        <v>319</v>
      </c>
      <c r="J82" s="78"/>
      <c r="K82" s="64"/>
      <c r="L82" s="64"/>
      <c r="N82" s="52" t="s">
        <v>246</v>
      </c>
      <c r="O82" s="52" t="s">
        <v>247</v>
      </c>
      <c r="P82" s="52">
        <v>300</v>
      </c>
      <c r="Q82" s="52">
        <v>200</v>
      </c>
      <c r="R82" s="13">
        <v>1000</v>
      </c>
      <c r="S82" s="13">
        <v>500</v>
      </c>
      <c r="T82" s="13">
        <v>400</v>
      </c>
    </row>
    <row r="83" spans="1:20" ht="12.75" x14ac:dyDescent="0.2">
      <c r="A83" s="13" t="s">
        <v>240</v>
      </c>
      <c r="B83" s="14">
        <v>1</v>
      </c>
      <c r="C83" s="14">
        <v>2</v>
      </c>
      <c r="D83" s="14">
        <v>3</v>
      </c>
      <c r="E83" s="14">
        <v>4</v>
      </c>
      <c r="F83" s="14">
        <v>5</v>
      </c>
      <c r="G83" s="14">
        <v>6</v>
      </c>
      <c r="H83" s="1"/>
      <c r="I83" s="28"/>
      <c r="J83" s="13" t="s">
        <v>223</v>
      </c>
      <c r="K83" s="13" t="s">
        <v>224</v>
      </c>
      <c r="L83" s="13" t="s">
        <v>222</v>
      </c>
      <c r="N83" s="52" t="s">
        <v>248</v>
      </c>
      <c r="O83" s="52" t="s">
        <v>247</v>
      </c>
      <c r="P83" s="52">
        <v>400</v>
      </c>
      <c r="Q83" s="52">
        <v>100</v>
      </c>
      <c r="R83" s="13">
        <v>1000</v>
      </c>
      <c r="S83" s="13">
        <v>500</v>
      </c>
      <c r="T83" s="13">
        <v>200</v>
      </c>
    </row>
    <row r="84" spans="1:20" ht="12.75" x14ac:dyDescent="0.2">
      <c r="A84" s="13" t="s">
        <v>7</v>
      </c>
      <c r="B84" s="15">
        <v>16.075700000000001</v>
      </c>
      <c r="C84" s="15">
        <v>13.854200000000001</v>
      </c>
      <c r="D84" s="15">
        <v>76.399799999999999</v>
      </c>
      <c r="E84" s="15">
        <v>69.474299999999999</v>
      </c>
      <c r="F84" s="15">
        <v>80.981499999999997</v>
      </c>
      <c r="G84" s="15">
        <v>75.854900000000001</v>
      </c>
      <c r="I84" s="28" t="s">
        <v>277</v>
      </c>
      <c r="J84" s="13">
        <v>429.68979999999999</v>
      </c>
      <c r="K84" s="13">
        <v>350.89150000000001</v>
      </c>
      <c r="L84" s="13">
        <f>(K84/J84)*100</f>
        <v>81.661584705990236</v>
      </c>
      <c r="N84" s="52" t="s">
        <v>249</v>
      </c>
      <c r="O84" s="52" t="s">
        <v>247</v>
      </c>
      <c r="P84" s="52">
        <v>450</v>
      </c>
      <c r="Q84" s="52">
        <v>50</v>
      </c>
      <c r="R84" s="13">
        <v>1000</v>
      </c>
      <c r="S84" s="13">
        <v>500</v>
      </c>
      <c r="T84" s="13">
        <v>100</v>
      </c>
    </row>
    <row r="85" spans="1:20" ht="12.75" x14ac:dyDescent="0.2">
      <c r="A85" s="13" t="s">
        <v>8</v>
      </c>
      <c r="B85" s="15">
        <v>31.5808</v>
      </c>
      <c r="C85" s="15">
        <v>29.3767</v>
      </c>
      <c r="D85" s="15">
        <v>49.816600000000001</v>
      </c>
      <c r="E85" s="15">
        <v>49.148899999999998</v>
      </c>
      <c r="F85" s="53">
        <v>355.34300000000002</v>
      </c>
      <c r="G85" s="53">
        <v>309.43</v>
      </c>
      <c r="I85" s="28" t="s">
        <v>278</v>
      </c>
      <c r="J85" s="13">
        <v>239.58619999999999</v>
      </c>
      <c r="K85" s="13">
        <v>180.68700000000001</v>
      </c>
      <c r="L85" s="13">
        <f t="shared" ref="L85:L94" si="1">(K85/J85)*100</f>
        <v>75.416280236507788</v>
      </c>
      <c r="N85" s="52" t="s">
        <v>250</v>
      </c>
      <c r="O85" s="52" t="s">
        <v>247</v>
      </c>
      <c r="P85" s="52">
        <v>380</v>
      </c>
      <c r="Q85" s="52">
        <v>20</v>
      </c>
      <c r="R85" s="13">
        <v>1000</v>
      </c>
      <c r="S85" s="13">
        <v>400</v>
      </c>
      <c r="T85" s="13">
        <v>50</v>
      </c>
    </row>
    <row r="86" spans="1:20" ht="12.75" x14ac:dyDescent="0.2">
      <c r="A86" s="13" t="s">
        <v>9</v>
      </c>
      <c r="B86" s="15">
        <v>60.619</v>
      </c>
      <c r="C86" s="15">
        <v>65.059799999999996</v>
      </c>
      <c r="D86" s="15">
        <v>21.5593</v>
      </c>
      <c r="E86" s="15">
        <v>19.237400000000001</v>
      </c>
      <c r="F86" s="53">
        <v>191.82499999999999</v>
      </c>
      <c r="G86" s="53">
        <v>173.49700000000001</v>
      </c>
      <c r="I86" s="28" t="s">
        <v>279</v>
      </c>
      <c r="J86" s="13">
        <v>144.53440000000001</v>
      </c>
      <c r="K86" s="13">
        <v>117.35</v>
      </c>
      <c r="L86" s="13">
        <f t="shared" si="1"/>
        <v>81.191743972369196</v>
      </c>
      <c r="N86" s="52" t="s">
        <v>251</v>
      </c>
      <c r="O86" s="52" t="s">
        <v>252</v>
      </c>
      <c r="P86" s="52">
        <v>300</v>
      </c>
      <c r="Q86" s="52">
        <v>200</v>
      </c>
      <c r="R86" s="13">
        <v>1000</v>
      </c>
      <c r="S86" s="13">
        <v>500</v>
      </c>
      <c r="T86" s="13">
        <v>400</v>
      </c>
    </row>
    <row r="87" spans="1:20" ht="12.75" x14ac:dyDescent="0.2">
      <c r="A87" s="13" t="s">
        <v>10</v>
      </c>
      <c r="B87" s="53">
        <v>125.836</v>
      </c>
      <c r="C87" s="53">
        <v>128.584</v>
      </c>
      <c r="D87" s="13" t="s">
        <v>75</v>
      </c>
      <c r="E87" s="18">
        <v>0.86741800000000002</v>
      </c>
      <c r="F87" s="15">
        <v>97.884699999999995</v>
      </c>
      <c r="G87" s="53">
        <v>105.852</v>
      </c>
      <c r="I87" s="28" t="s">
        <v>280</v>
      </c>
      <c r="J87" s="13">
        <v>97.008600000000001</v>
      </c>
      <c r="K87" s="13">
        <v>78.418199999999999</v>
      </c>
      <c r="L87" s="13">
        <f t="shared" si="1"/>
        <v>80.836338221559728</v>
      </c>
      <c r="N87" s="52" t="s">
        <v>253</v>
      </c>
      <c r="O87" s="52" t="s">
        <v>252</v>
      </c>
      <c r="P87" s="52">
        <v>400</v>
      </c>
      <c r="Q87" s="52">
        <v>100</v>
      </c>
      <c r="R87" s="13">
        <v>1000</v>
      </c>
      <c r="S87" s="13">
        <v>500</v>
      </c>
      <c r="T87" s="13">
        <v>200</v>
      </c>
    </row>
    <row r="88" spans="1:20" ht="12.75" x14ac:dyDescent="0.2">
      <c r="A88" s="13" t="s">
        <v>11</v>
      </c>
      <c r="B88" s="53">
        <v>246.34399999999999</v>
      </c>
      <c r="C88" s="53">
        <v>249.39599999999999</v>
      </c>
      <c r="D88" s="13" t="s">
        <v>75</v>
      </c>
      <c r="E88" s="13" t="s">
        <v>75</v>
      </c>
      <c r="F88" s="15">
        <v>66.221199999999996</v>
      </c>
      <c r="G88" s="15">
        <v>60.277299999999997</v>
      </c>
      <c r="I88" s="28" t="s">
        <v>281</v>
      </c>
      <c r="J88" s="13">
        <v>412.23879999999997</v>
      </c>
      <c r="K88" s="13">
        <v>332.38650000000001</v>
      </c>
      <c r="L88" s="13">
        <f t="shared" si="1"/>
        <v>80.629601095287498</v>
      </c>
      <c r="N88" s="52" t="s">
        <v>254</v>
      </c>
      <c r="O88" s="52" t="s">
        <v>252</v>
      </c>
      <c r="P88" s="52">
        <v>450</v>
      </c>
      <c r="Q88" s="52">
        <v>50</v>
      </c>
      <c r="R88" s="13">
        <v>1000</v>
      </c>
      <c r="S88" s="13">
        <v>500</v>
      </c>
      <c r="T88" s="13">
        <v>100</v>
      </c>
    </row>
    <row r="89" spans="1:20" ht="12.75" x14ac:dyDescent="0.2">
      <c r="A89" s="13" t="s">
        <v>12</v>
      </c>
      <c r="B89" s="53">
        <v>490.16</v>
      </c>
      <c r="C89" s="53">
        <v>511.56299999999999</v>
      </c>
      <c r="D89" s="53">
        <v>358.00400000000002</v>
      </c>
      <c r="E89" s="53">
        <v>343.779</v>
      </c>
      <c r="F89" s="53">
        <v>166.12299999999999</v>
      </c>
      <c r="G89" s="53">
        <v>150.50399999999999</v>
      </c>
      <c r="I89" s="28" t="s">
        <v>282</v>
      </c>
      <c r="J89" s="13">
        <v>216.3184</v>
      </c>
      <c r="K89" s="13">
        <v>182.661</v>
      </c>
      <c r="L89" s="13">
        <f t="shared" si="1"/>
        <v>84.44080577519064</v>
      </c>
      <c r="N89" s="52" t="s">
        <v>255</v>
      </c>
      <c r="O89" s="52" t="s">
        <v>252</v>
      </c>
      <c r="P89" s="52">
        <v>380</v>
      </c>
      <c r="Q89" s="52">
        <v>20</v>
      </c>
      <c r="R89" s="13">
        <v>1000</v>
      </c>
      <c r="S89" s="13">
        <v>400</v>
      </c>
      <c r="T89" s="13">
        <v>50</v>
      </c>
    </row>
    <row r="90" spans="1:20" ht="12.75" x14ac:dyDescent="0.2">
      <c r="A90" s="13" t="s">
        <v>13</v>
      </c>
      <c r="B90" s="53">
        <v>987.96500000000003</v>
      </c>
      <c r="C90" s="14">
        <v>1011.8</v>
      </c>
      <c r="D90" s="53">
        <v>185.571</v>
      </c>
      <c r="E90" s="53">
        <v>175.803</v>
      </c>
      <c r="F90" s="53">
        <v>182.798</v>
      </c>
      <c r="G90" s="53">
        <v>170.05099999999999</v>
      </c>
      <c r="I90" s="28" t="s">
        <v>283</v>
      </c>
      <c r="J90" s="13">
        <v>118.3582</v>
      </c>
      <c r="K90" s="13">
        <v>101.86834999999999</v>
      </c>
      <c r="L90" s="13">
        <f t="shared" si="1"/>
        <v>86.06784320815963</v>
      </c>
      <c r="N90" s="52" t="s">
        <v>256</v>
      </c>
      <c r="O90" s="52" t="s">
        <v>257</v>
      </c>
      <c r="P90" s="52">
        <v>200</v>
      </c>
      <c r="Q90" s="52">
        <v>50</v>
      </c>
      <c r="R90" s="13">
        <v>1000</v>
      </c>
      <c r="S90" s="13">
        <v>250</v>
      </c>
      <c r="T90" s="13">
        <v>200</v>
      </c>
    </row>
    <row r="91" spans="1:20" ht="12.75" x14ac:dyDescent="0.2">
      <c r="A91" s="13" t="s">
        <v>14</v>
      </c>
      <c r="B91" s="13"/>
      <c r="C91" s="13"/>
      <c r="D91" s="53">
        <v>121.43</v>
      </c>
      <c r="E91" s="53">
        <v>113.27</v>
      </c>
      <c r="F91" s="53">
        <v>182.50399999999999</v>
      </c>
      <c r="G91" s="53">
        <v>184.42500000000001</v>
      </c>
      <c r="I91" s="28" t="s">
        <v>284</v>
      </c>
      <c r="J91" s="13">
        <v>69.378099999999989</v>
      </c>
      <c r="K91" s="13">
        <v>63.249249999999996</v>
      </c>
      <c r="L91" s="13">
        <f t="shared" si="1"/>
        <v>91.166016365394853</v>
      </c>
      <c r="N91" s="52" t="s">
        <v>258</v>
      </c>
      <c r="O91" s="52" t="s">
        <v>259</v>
      </c>
      <c r="P91" s="52">
        <v>200</v>
      </c>
      <c r="Q91" s="52">
        <v>50</v>
      </c>
      <c r="R91" s="13">
        <v>1000</v>
      </c>
      <c r="S91" s="13">
        <v>250</v>
      </c>
      <c r="T91" s="13">
        <v>200</v>
      </c>
    </row>
    <row r="92" spans="1:20" ht="12.75" x14ac:dyDescent="0.2">
      <c r="I92" s="28" t="s">
        <v>285</v>
      </c>
      <c r="J92" s="13">
        <v>258.35000000000002</v>
      </c>
      <c r="K92" s="13">
        <v>158.31349999999998</v>
      </c>
      <c r="L92" s="13">
        <f t="shared" si="1"/>
        <v>61.278691697309839</v>
      </c>
      <c r="N92" s="52" t="s">
        <v>260</v>
      </c>
      <c r="O92" s="52" t="s">
        <v>261</v>
      </c>
      <c r="P92" s="52">
        <v>200</v>
      </c>
      <c r="Q92" s="52">
        <v>50</v>
      </c>
      <c r="R92" s="13">
        <v>1000</v>
      </c>
      <c r="S92" s="13">
        <v>250</v>
      </c>
      <c r="T92" s="13">
        <v>200</v>
      </c>
    </row>
    <row r="93" spans="1:20" ht="12.75" x14ac:dyDescent="0.2">
      <c r="A93" s="13" t="s">
        <v>15</v>
      </c>
      <c r="B93" s="14">
        <v>1</v>
      </c>
      <c r="C93" s="14">
        <v>2</v>
      </c>
      <c r="D93" s="14">
        <v>3</v>
      </c>
      <c r="E93" s="14">
        <v>4</v>
      </c>
      <c r="F93" s="14">
        <v>5</v>
      </c>
      <c r="G93" s="14">
        <v>6</v>
      </c>
      <c r="H93" s="1"/>
      <c r="I93" s="28" t="s">
        <v>286</v>
      </c>
      <c r="J93" s="13">
        <v>200.6936</v>
      </c>
      <c r="K93" s="13">
        <v>176.42449999999999</v>
      </c>
      <c r="L93" s="13">
        <f t="shared" si="1"/>
        <v>87.907387181255402</v>
      </c>
    </row>
    <row r="94" spans="1:20" ht="12.75" x14ac:dyDescent="0.2">
      <c r="A94" s="13" t="s">
        <v>7</v>
      </c>
      <c r="B94" s="13" t="s">
        <v>207</v>
      </c>
      <c r="C94" s="13" t="s">
        <v>207</v>
      </c>
      <c r="D94" s="13" t="s">
        <v>262</v>
      </c>
      <c r="E94" s="13" t="s">
        <v>262</v>
      </c>
      <c r="F94" s="13" t="s">
        <v>263</v>
      </c>
      <c r="G94" s="13" t="s">
        <v>263</v>
      </c>
      <c r="I94" s="28" t="s">
        <v>287</v>
      </c>
      <c r="J94" s="13">
        <v>200</v>
      </c>
      <c r="K94" s="13">
        <v>183.46449999999999</v>
      </c>
      <c r="L94" s="13">
        <f t="shared" si="1"/>
        <v>91.732249999999993</v>
      </c>
      <c r="S94" t="s">
        <v>3</v>
      </c>
    </row>
    <row r="95" spans="1:20" ht="12.75" x14ac:dyDescent="0.2">
      <c r="A95" s="13" t="s">
        <v>8</v>
      </c>
      <c r="B95" s="13" t="s">
        <v>206</v>
      </c>
      <c r="C95" s="13" t="s">
        <v>206</v>
      </c>
      <c r="D95" s="13" t="s">
        <v>208</v>
      </c>
      <c r="E95" s="13" t="s">
        <v>208</v>
      </c>
      <c r="F95" s="13" t="s">
        <v>264</v>
      </c>
      <c r="G95" s="13" t="s">
        <v>264</v>
      </c>
    </row>
    <row r="96" spans="1:20" ht="12.75" x14ac:dyDescent="0.2">
      <c r="A96" s="13" t="s">
        <v>9</v>
      </c>
      <c r="B96" s="13" t="s">
        <v>205</v>
      </c>
      <c r="C96" s="13" t="s">
        <v>205</v>
      </c>
      <c r="D96" s="13" t="s">
        <v>192</v>
      </c>
      <c r="E96" s="13" t="s">
        <v>192</v>
      </c>
      <c r="F96" s="13" t="s">
        <v>265</v>
      </c>
      <c r="G96" s="13" t="s">
        <v>265</v>
      </c>
    </row>
    <row r="97" spans="1:7" ht="12.75" x14ac:dyDescent="0.2">
      <c r="A97" s="13" t="s">
        <v>10</v>
      </c>
      <c r="B97" s="13" t="s">
        <v>204</v>
      </c>
      <c r="C97" s="13" t="s">
        <v>204</v>
      </c>
      <c r="D97" s="13" t="s">
        <v>266</v>
      </c>
      <c r="E97" s="13" t="s">
        <v>266</v>
      </c>
      <c r="F97" s="13" t="s">
        <v>267</v>
      </c>
      <c r="G97" s="13" t="s">
        <v>267</v>
      </c>
    </row>
    <row r="98" spans="1:7" ht="12.75" x14ac:dyDescent="0.2">
      <c r="A98" s="13" t="s">
        <v>11</v>
      </c>
      <c r="B98" s="13" t="s">
        <v>203</v>
      </c>
      <c r="C98" s="13" t="s">
        <v>203</v>
      </c>
      <c r="D98" s="13" t="s">
        <v>268</v>
      </c>
      <c r="E98" s="13" t="s">
        <v>268</v>
      </c>
      <c r="F98" s="13" t="s">
        <v>269</v>
      </c>
      <c r="G98" s="13" t="s">
        <v>269</v>
      </c>
    </row>
    <row r="99" spans="1:7" ht="12.75" x14ac:dyDescent="0.2">
      <c r="A99" s="13" t="s">
        <v>12</v>
      </c>
      <c r="B99" s="13" t="s">
        <v>202</v>
      </c>
      <c r="C99" s="13" t="s">
        <v>202</v>
      </c>
      <c r="D99" s="13" t="s">
        <v>270</v>
      </c>
      <c r="E99" s="13" t="s">
        <v>270</v>
      </c>
      <c r="F99" s="13" t="s">
        <v>271</v>
      </c>
      <c r="G99" s="13" t="s">
        <v>271</v>
      </c>
    </row>
    <row r="100" spans="1:7" ht="12.75" x14ac:dyDescent="0.2">
      <c r="A100" s="13" t="s">
        <v>13</v>
      </c>
      <c r="B100" s="13" t="s">
        <v>201</v>
      </c>
      <c r="C100" s="13" t="s">
        <v>201</v>
      </c>
      <c r="D100" s="13" t="s">
        <v>272</v>
      </c>
      <c r="E100" s="13" t="s">
        <v>272</v>
      </c>
      <c r="F100" s="13" t="s">
        <v>273</v>
      </c>
      <c r="G100" s="13" t="s">
        <v>273</v>
      </c>
    </row>
    <row r="101" spans="1:7" ht="12.75" x14ac:dyDescent="0.2">
      <c r="A101" s="13" t="s">
        <v>14</v>
      </c>
      <c r="B101" s="13" t="s">
        <v>37</v>
      </c>
      <c r="C101" s="13" t="s">
        <v>274</v>
      </c>
      <c r="D101" s="13" t="s">
        <v>275</v>
      </c>
      <c r="E101" s="13" t="s">
        <v>275</v>
      </c>
      <c r="F101" s="13" t="s">
        <v>276</v>
      </c>
      <c r="G101" s="13" t="s">
        <v>276</v>
      </c>
    </row>
    <row r="103" spans="1:7" ht="12.75" x14ac:dyDescent="0.2">
      <c r="A103" t="s">
        <v>76</v>
      </c>
    </row>
  </sheetData>
  <mergeCells count="4">
    <mergeCell ref="P80:R80"/>
    <mergeCell ref="M73:P75"/>
    <mergeCell ref="I72:K72"/>
    <mergeCell ref="I82:J8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89BC4-1153-4AF4-9BAB-0E7A82E0395C}">
  <dimension ref="A1:U103"/>
  <sheetViews>
    <sheetView tabSelected="1" topLeftCell="A61" workbookViewId="0">
      <selection activeCell="K80" sqref="K80"/>
    </sheetView>
  </sheetViews>
  <sheetFormatPr defaultColWidth="9.140625" defaultRowHeight="15" customHeight="1" x14ac:dyDescent="0.2"/>
  <cols>
    <col min="1" max="1" width="11" customWidth="1"/>
    <col min="2" max="2" width="12.42578125" customWidth="1"/>
    <col min="3" max="7" width="20" customWidth="1"/>
    <col min="8" max="9" width="5.7109375" customWidth="1"/>
    <col min="10" max="10" width="18.5703125" customWidth="1"/>
    <col min="11" max="13" width="12.28515625" customWidth="1"/>
    <col min="14" max="17" width="14.42578125" customWidth="1"/>
    <col min="18" max="18" width="16.7109375" customWidth="1"/>
  </cols>
  <sheetData>
    <row r="1" spans="1:1" ht="15" customHeight="1" x14ac:dyDescent="0.2">
      <c r="A1" t="s">
        <v>0</v>
      </c>
    </row>
    <row r="2" spans="1:1" ht="15" customHeight="1" x14ac:dyDescent="0.2">
      <c r="A2" t="s">
        <v>288</v>
      </c>
    </row>
    <row r="3" spans="1:1" ht="15" customHeight="1" x14ac:dyDescent="0.2">
      <c r="A3" t="s">
        <v>289</v>
      </c>
    </row>
    <row r="4" spans="1:1" ht="15" customHeight="1" x14ac:dyDescent="0.2">
      <c r="A4" t="s">
        <v>3</v>
      </c>
    </row>
    <row r="5" spans="1:1" ht="15" customHeight="1" x14ac:dyDescent="0.2">
      <c r="A5" t="s">
        <v>77</v>
      </c>
    </row>
    <row r="7" spans="1:1" ht="15" customHeight="1" x14ac:dyDescent="0.2">
      <c r="A7" t="s">
        <v>41</v>
      </c>
    </row>
    <row r="8" spans="1:1" ht="15" customHeight="1" x14ac:dyDescent="0.2">
      <c r="A8" t="s">
        <v>42</v>
      </c>
    </row>
    <row r="9" spans="1:1" ht="15" customHeight="1" x14ac:dyDescent="0.2">
      <c r="A9" t="s">
        <v>43</v>
      </c>
    </row>
    <row r="10" spans="1:1" ht="15" customHeight="1" x14ac:dyDescent="0.2">
      <c r="A10" t="s">
        <v>5</v>
      </c>
    </row>
    <row r="11" spans="1:1" ht="15" customHeight="1" x14ac:dyDescent="0.2">
      <c r="A11" t="s">
        <v>44</v>
      </c>
    </row>
    <row r="12" spans="1:1" ht="15" customHeight="1" x14ac:dyDescent="0.2">
      <c r="A12" t="s">
        <v>45</v>
      </c>
    </row>
    <row r="13" spans="1:1" ht="15" customHeight="1" x14ac:dyDescent="0.2">
      <c r="A13" t="s">
        <v>3</v>
      </c>
    </row>
    <row r="15" spans="1:1" ht="15" customHeight="1" x14ac:dyDescent="0.2">
      <c r="A15" t="s">
        <v>3</v>
      </c>
    </row>
    <row r="36" spans="1:7" ht="15" customHeight="1" x14ac:dyDescent="0.2">
      <c r="A36" t="s">
        <v>290</v>
      </c>
    </row>
    <row r="38" spans="1:7" ht="15" customHeight="1" x14ac:dyDescent="0.2">
      <c r="A38" t="s">
        <v>46</v>
      </c>
    </row>
    <row r="39" spans="1:7" ht="12.75" x14ac:dyDescent="0.2">
      <c r="A39" t="s">
        <v>47</v>
      </c>
    </row>
    <row r="40" spans="1:7" ht="12.75" x14ac:dyDescent="0.2">
      <c r="A40" t="s">
        <v>48</v>
      </c>
      <c r="B40" s="50">
        <v>8.3134899999999998E-3</v>
      </c>
    </row>
    <row r="41" spans="1:7" ht="12.75" x14ac:dyDescent="0.2">
      <c r="A41" t="s">
        <v>49</v>
      </c>
      <c r="B41" s="42">
        <v>1.0782</v>
      </c>
    </row>
    <row r="42" spans="1:7" ht="12.75" x14ac:dyDescent="0.2">
      <c r="A42" t="s">
        <v>50</v>
      </c>
      <c r="B42" s="47">
        <v>5100.3900000000003</v>
      </c>
    </row>
    <row r="43" spans="1:7" ht="12.75" x14ac:dyDescent="0.2">
      <c r="A43" t="s">
        <v>51</v>
      </c>
      <c r="B43" s="42">
        <v>15.029299999999999</v>
      </c>
    </row>
    <row r="44" spans="1:7" ht="12.75" x14ac:dyDescent="0.2"/>
    <row r="45" spans="1:7" ht="12.75" x14ac:dyDescent="0.2">
      <c r="A45" t="s">
        <v>52</v>
      </c>
    </row>
    <row r="46" spans="1:7" ht="12.75" x14ac:dyDescent="0.2">
      <c r="A46" t="s">
        <v>3</v>
      </c>
    </row>
    <row r="47" spans="1:7" ht="12.75" x14ac:dyDescent="0.2">
      <c r="A47" t="s">
        <v>53</v>
      </c>
      <c r="B47" t="s">
        <v>15</v>
      </c>
      <c r="C47" t="s">
        <v>240</v>
      </c>
      <c r="D47" t="s">
        <v>55</v>
      </c>
      <c r="E47" t="s">
        <v>56</v>
      </c>
      <c r="F47" t="s">
        <v>57</v>
      </c>
      <c r="G47" t="s">
        <v>58</v>
      </c>
    </row>
    <row r="48" spans="1:7" ht="12.75" x14ac:dyDescent="0.2">
      <c r="A48" t="s">
        <v>59</v>
      </c>
      <c r="B48" t="s">
        <v>34</v>
      </c>
      <c r="C48">
        <v>1000</v>
      </c>
      <c r="D48" s="46">
        <v>2.2191399999999999</v>
      </c>
      <c r="E48" s="51">
        <v>0.35560199999999997</v>
      </c>
      <c r="F48" s="46">
        <v>2.2194099999999999</v>
      </c>
      <c r="G48" s="48">
        <v>-2.7039000000000002E-4</v>
      </c>
    </row>
    <row r="49" spans="1:7" ht="12.75" x14ac:dyDescent="0.2">
      <c r="A49" t="s">
        <v>60</v>
      </c>
      <c r="B49" t="s">
        <v>34</v>
      </c>
      <c r="C49">
        <v>1000</v>
      </c>
      <c r="D49" s="46">
        <v>2.22472</v>
      </c>
      <c r="F49" s="46">
        <v>2.2194099999999999</v>
      </c>
      <c r="G49" s="50">
        <v>5.3096100000000002E-3</v>
      </c>
    </row>
    <row r="50" spans="1:7" ht="12.75" x14ac:dyDescent="0.2">
      <c r="A50" t="s">
        <v>61</v>
      </c>
      <c r="B50" t="s">
        <v>34</v>
      </c>
      <c r="C50">
        <v>1000</v>
      </c>
      <c r="D50" s="46">
        <v>2.2135600000000002</v>
      </c>
      <c r="F50" s="46">
        <v>2.2194099999999999</v>
      </c>
      <c r="G50" s="50">
        <v>-5.8503899999999996E-3</v>
      </c>
    </row>
    <row r="51" spans="1:7" ht="12.75" x14ac:dyDescent="0.2">
      <c r="A51" t="s">
        <v>59</v>
      </c>
      <c r="B51" t="s">
        <v>31</v>
      </c>
      <c r="C51" s="49">
        <v>500</v>
      </c>
      <c r="D51" s="46">
        <v>1.1457900000000001</v>
      </c>
      <c r="E51" s="46">
        <v>2.2223000000000002</v>
      </c>
      <c r="F51" s="46">
        <v>1.1434899999999999</v>
      </c>
      <c r="G51" s="50">
        <v>2.2959999999999999E-3</v>
      </c>
    </row>
    <row r="52" spans="1:7" ht="12.75" x14ac:dyDescent="0.2">
      <c r="A52" t="s">
        <v>62</v>
      </c>
      <c r="B52" t="s">
        <v>31</v>
      </c>
      <c r="C52" s="49">
        <v>500</v>
      </c>
      <c r="D52" s="46">
        <v>1.12778</v>
      </c>
      <c r="F52" s="46">
        <v>1.1434899999999999</v>
      </c>
      <c r="G52" s="45">
        <v>-1.5709000000000001E-2</v>
      </c>
    </row>
    <row r="53" spans="1:7" ht="12.75" x14ac:dyDescent="0.2">
      <c r="A53" t="s">
        <v>63</v>
      </c>
      <c r="B53" t="s">
        <v>31</v>
      </c>
      <c r="C53" s="49">
        <v>500</v>
      </c>
      <c r="D53" s="46">
        <v>1.1637900000000001</v>
      </c>
      <c r="F53" s="46">
        <v>1.1434899999999999</v>
      </c>
      <c r="G53" s="45">
        <v>2.0301E-2</v>
      </c>
    </row>
    <row r="54" spans="1:7" ht="12.75" x14ac:dyDescent="0.2">
      <c r="A54" t="s">
        <v>59</v>
      </c>
      <c r="B54" t="s">
        <v>28</v>
      </c>
      <c r="C54" s="49">
        <v>250</v>
      </c>
      <c r="D54" s="51">
        <v>0.56093300000000001</v>
      </c>
      <c r="E54" s="46">
        <v>3.4647399999999999</v>
      </c>
      <c r="F54" s="51">
        <v>0.56823100000000004</v>
      </c>
      <c r="G54" s="50">
        <v>-7.2983600000000003E-3</v>
      </c>
    </row>
    <row r="55" spans="1:7" ht="12.75" x14ac:dyDescent="0.2">
      <c r="A55" t="s">
        <v>64</v>
      </c>
      <c r="B55" t="s">
        <v>28</v>
      </c>
      <c r="C55" s="49">
        <v>250</v>
      </c>
      <c r="D55" s="51">
        <v>0.54718999999999995</v>
      </c>
      <c r="F55" s="51">
        <v>0.56823100000000004</v>
      </c>
      <c r="G55" s="45">
        <v>-2.1040900000000001E-2</v>
      </c>
    </row>
    <row r="56" spans="1:7" ht="12.75" x14ac:dyDescent="0.2">
      <c r="A56" t="s">
        <v>65</v>
      </c>
      <c r="B56" t="s">
        <v>28</v>
      </c>
      <c r="C56" s="49">
        <v>250</v>
      </c>
      <c r="D56" s="51">
        <v>0.57467500000000005</v>
      </c>
      <c r="F56" s="51">
        <v>0.56823100000000004</v>
      </c>
      <c r="G56" s="50">
        <v>6.4441400000000001E-3</v>
      </c>
    </row>
    <row r="57" spans="1:7" ht="12.75" x14ac:dyDescent="0.2">
      <c r="A57" t="s">
        <v>59</v>
      </c>
      <c r="B57" t="s">
        <v>25</v>
      </c>
      <c r="C57" s="49">
        <v>125</v>
      </c>
      <c r="D57" s="51">
        <v>0.28867700000000002</v>
      </c>
      <c r="E57" s="42">
        <v>10.3201</v>
      </c>
      <c r="F57" s="51">
        <v>0.27880899999999997</v>
      </c>
      <c r="G57" s="50">
        <v>9.8679600000000003E-3</v>
      </c>
    </row>
    <row r="58" spans="1:7" ht="12.75" x14ac:dyDescent="0.2">
      <c r="A58" t="s">
        <v>66</v>
      </c>
      <c r="B58" t="s">
        <v>25</v>
      </c>
      <c r="C58" s="49">
        <v>125</v>
      </c>
      <c r="D58" s="51">
        <v>0.30974299999999999</v>
      </c>
      <c r="F58" s="51">
        <v>0.27880899999999997</v>
      </c>
      <c r="G58" s="45">
        <v>3.0934E-2</v>
      </c>
    </row>
    <row r="59" spans="1:7" ht="12.75" x14ac:dyDescent="0.2">
      <c r="A59" t="s">
        <v>67</v>
      </c>
      <c r="B59" t="s">
        <v>25</v>
      </c>
      <c r="C59" s="49">
        <v>125</v>
      </c>
      <c r="D59" s="51">
        <v>0.26761099999999999</v>
      </c>
      <c r="F59" s="51">
        <v>0.27880899999999997</v>
      </c>
      <c r="G59" s="45">
        <v>-1.1198E-2</v>
      </c>
    </row>
    <row r="60" spans="1:7" ht="12.75" x14ac:dyDescent="0.2">
      <c r="A60" t="s">
        <v>59</v>
      </c>
      <c r="B60" t="s">
        <v>22</v>
      </c>
      <c r="C60" s="42">
        <v>62.5</v>
      </c>
      <c r="D60" s="51">
        <v>0.13392499999999999</v>
      </c>
      <c r="E60" s="51">
        <v>0.39863199999999999</v>
      </c>
      <c r="F60" s="51">
        <v>0.137652</v>
      </c>
      <c r="G60" s="50">
        <v>-3.7271100000000001E-3</v>
      </c>
    </row>
    <row r="61" spans="1:7" ht="12.75" x14ac:dyDescent="0.2">
      <c r="A61" t="s">
        <v>68</v>
      </c>
      <c r="B61" t="s">
        <v>22</v>
      </c>
      <c r="C61" s="42">
        <v>62.5</v>
      </c>
      <c r="D61" s="51">
        <v>0.134302</v>
      </c>
      <c r="F61" s="51">
        <v>0.137652</v>
      </c>
      <c r="G61" s="50">
        <v>-3.3496099999999998E-3</v>
      </c>
    </row>
    <row r="62" spans="1:7" ht="12.75" x14ac:dyDescent="0.2">
      <c r="A62" t="s">
        <v>69</v>
      </c>
      <c r="B62" t="s">
        <v>22</v>
      </c>
      <c r="C62" s="42">
        <v>62.5</v>
      </c>
      <c r="D62" s="51">
        <v>0.133547</v>
      </c>
      <c r="F62" s="51">
        <v>0.137652</v>
      </c>
      <c r="G62" s="50">
        <v>-4.1046099999999999E-3</v>
      </c>
    </row>
    <row r="63" spans="1:7" ht="12.75" x14ac:dyDescent="0.2">
      <c r="A63" t="s">
        <v>59</v>
      </c>
      <c r="B63" t="s">
        <v>19</v>
      </c>
      <c r="C63" s="42">
        <v>31.25</v>
      </c>
      <c r="D63" s="45">
        <v>6.7255499999999996E-2</v>
      </c>
      <c r="E63" s="46">
        <v>1.05453</v>
      </c>
      <c r="F63" s="45">
        <v>6.9849499999999995E-2</v>
      </c>
      <c r="G63" s="50">
        <v>-2.5940300000000002E-3</v>
      </c>
    </row>
    <row r="64" spans="1:7" ht="12.75" x14ac:dyDescent="0.2">
      <c r="A64" t="s">
        <v>70</v>
      </c>
      <c r="B64" t="s">
        <v>19</v>
      </c>
      <c r="C64" s="42">
        <v>31.25</v>
      </c>
      <c r="D64" s="45">
        <v>6.7756999999999998E-2</v>
      </c>
      <c r="F64" s="45">
        <v>6.9849499999999995E-2</v>
      </c>
      <c r="G64" s="50">
        <v>-2.09253E-3</v>
      </c>
    </row>
    <row r="65" spans="1:21" ht="12.75" x14ac:dyDescent="0.2">
      <c r="A65" t="s">
        <v>71</v>
      </c>
      <c r="B65" t="s">
        <v>19</v>
      </c>
      <c r="C65" s="42">
        <v>31.25</v>
      </c>
      <c r="D65" s="45">
        <v>6.6753999999999994E-2</v>
      </c>
      <c r="F65" s="45">
        <v>6.9849499999999995E-2</v>
      </c>
      <c r="G65" s="50">
        <v>-3.09553E-3</v>
      </c>
    </row>
    <row r="66" spans="1:21" ht="12.75" x14ac:dyDescent="0.2">
      <c r="A66" t="s">
        <v>59</v>
      </c>
      <c r="B66" t="s">
        <v>16</v>
      </c>
      <c r="C66" s="42">
        <v>15.625</v>
      </c>
      <c r="D66" s="45">
        <v>3.92471E-2</v>
      </c>
      <c r="E66" s="46">
        <v>5.4947600000000003</v>
      </c>
      <c r="F66" s="45">
        <v>3.7521199999999998E-2</v>
      </c>
      <c r="G66" s="50">
        <v>1.7259199999999999E-3</v>
      </c>
    </row>
    <row r="67" spans="1:21" ht="12.75" x14ac:dyDescent="0.2">
      <c r="A67" t="s">
        <v>72</v>
      </c>
      <c r="B67" t="s">
        <v>16</v>
      </c>
      <c r="C67" s="42">
        <v>15.625</v>
      </c>
      <c r="D67" s="45">
        <v>4.0772000000000003E-2</v>
      </c>
      <c r="F67" s="45">
        <v>3.7521199999999998E-2</v>
      </c>
      <c r="G67" s="50">
        <v>3.2508200000000002E-3</v>
      </c>
    </row>
    <row r="68" spans="1:21" ht="12.75" x14ac:dyDescent="0.2">
      <c r="A68" t="s">
        <v>73</v>
      </c>
      <c r="B68" t="s">
        <v>16</v>
      </c>
      <c r="C68" s="42">
        <v>15.625</v>
      </c>
      <c r="D68" s="45">
        <v>3.7722199999999997E-2</v>
      </c>
      <c r="F68" s="45">
        <v>3.7521199999999998E-2</v>
      </c>
      <c r="G68" s="48">
        <v>2.0102499999999999E-4</v>
      </c>
    </row>
    <row r="69" spans="1:21" ht="12.75" x14ac:dyDescent="0.2"/>
    <row r="70" spans="1:21" ht="12.75" x14ac:dyDescent="0.2"/>
    <row r="71" spans="1:21" ht="12.75" x14ac:dyDescent="0.2">
      <c r="A71" t="s">
        <v>6</v>
      </c>
    </row>
    <row r="72" spans="1:21" ht="12.75" x14ac:dyDescent="0.2">
      <c r="A72" t="s">
        <v>3</v>
      </c>
    </row>
    <row r="73" spans="1:21" ht="12.75" x14ac:dyDescent="0.2">
      <c r="A73" s="13" t="s">
        <v>74</v>
      </c>
      <c r="B73" s="14">
        <v>1</v>
      </c>
      <c r="C73" s="14">
        <v>2</v>
      </c>
      <c r="D73" s="14">
        <v>3</v>
      </c>
      <c r="E73" s="14">
        <v>4</v>
      </c>
      <c r="F73" s="14">
        <v>5</v>
      </c>
      <c r="G73" s="14">
        <v>6</v>
      </c>
      <c r="H73" s="1"/>
      <c r="I73" s="1"/>
      <c r="J73" s="1"/>
      <c r="K73" s="1"/>
      <c r="L73" s="1"/>
    </row>
    <row r="74" spans="1:21" ht="12.75" x14ac:dyDescent="0.2">
      <c r="A74" s="13" t="s">
        <v>7</v>
      </c>
      <c r="B74" s="17">
        <v>4.0772000000000003E-2</v>
      </c>
      <c r="C74" s="17">
        <v>3.7722199999999997E-2</v>
      </c>
      <c r="D74" s="17">
        <v>9.2051999999999995E-2</v>
      </c>
      <c r="E74" s="18">
        <v>0.17560799999999999</v>
      </c>
      <c r="F74" s="17">
        <v>1.10318E-2</v>
      </c>
      <c r="G74" s="17">
        <v>2.30279E-2</v>
      </c>
      <c r="J74" s="79" t="s">
        <v>318</v>
      </c>
      <c r="K74" s="79"/>
      <c r="L74" s="79"/>
      <c r="M74" s="59"/>
    </row>
    <row r="75" spans="1:21" ht="12.75" x14ac:dyDescent="0.2">
      <c r="A75" s="13" t="s">
        <v>8</v>
      </c>
      <c r="B75" s="17">
        <v>6.7756999999999998E-2</v>
      </c>
      <c r="C75" s="17">
        <v>6.6753999999999994E-2</v>
      </c>
      <c r="D75" s="18">
        <v>0.18421899999999999</v>
      </c>
      <c r="E75" s="18">
        <v>0.184005</v>
      </c>
      <c r="F75" s="18">
        <v>0.15094099999999999</v>
      </c>
      <c r="G75" s="18">
        <v>0.15162100000000001</v>
      </c>
      <c r="J75" s="28" t="s">
        <v>219</v>
      </c>
      <c r="K75" s="13" t="s">
        <v>220</v>
      </c>
      <c r="L75" s="13" t="s">
        <v>221</v>
      </c>
      <c r="M75" s="13" t="s">
        <v>222</v>
      </c>
    </row>
    <row r="76" spans="1:21" ht="12.75" x14ac:dyDescent="0.2">
      <c r="A76" s="13" t="s">
        <v>9</v>
      </c>
      <c r="B76" s="18">
        <v>0.134302</v>
      </c>
      <c r="C76" s="18">
        <v>0.133547</v>
      </c>
      <c r="D76" s="18">
        <v>0.239206</v>
      </c>
      <c r="E76" s="18">
        <v>0.23358200000000001</v>
      </c>
      <c r="F76" s="18">
        <v>0.28693999999999997</v>
      </c>
      <c r="G76" s="18">
        <v>0.25255100000000003</v>
      </c>
      <c r="J76" s="54">
        <v>2</v>
      </c>
      <c r="K76" s="54">
        <v>60.588849999999994</v>
      </c>
      <c r="L76" s="55">
        <f>J76*K76</f>
        <v>121.17769999999999</v>
      </c>
      <c r="M76" s="55"/>
    </row>
    <row r="77" spans="1:21" ht="12.75" x14ac:dyDescent="0.2">
      <c r="A77" s="13" t="s">
        <v>10</v>
      </c>
      <c r="B77" s="18">
        <v>0.30974299999999999</v>
      </c>
      <c r="C77" s="18">
        <v>0.26761099999999999</v>
      </c>
      <c r="D77" s="18">
        <v>0.204682</v>
      </c>
      <c r="E77" s="18">
        <v>0.201654</v>
      </c>
      <c r="F77" s="18">
        <v>0.35597299999999998</v>
      </c>
      <c r="G77" s="18">
        <v>0.32345400000000002</v>
      </c>
      <c r="J77" s="54">
        <v>4</v>
      </c>
      <c r="K77" s="54">
        <v>83.322100000000006</v>
      </c>
      <c r="L77" s="55">
        <f t="shared" ref="L77:L84" si="0">J77*K77</f>
        <v>333.28840000000002</v>
      </c>
      <c r="M77" s="55"/>
    </row>
    <row r="78" spans="1:21" ht="13.5" thickBot="1" x14ac:dyDescent="0.25">
      <c r="A78" s="13" t="s">
        <v>11</v>
      </c>
      <c r="B78" s="18">
        <v>0.54718999999999995</v>
      </c>
      <c r="C78" s="18">
        <v>0.57467500000000005</v>
      </c>
      <c r="D78" s="18">
        <v>0.15975700000000001</v>
      </c>
      <c r="E78" s="18">
        <v>0.11967999999999999</v>
      </c>
      <c r="F78" s="18">
        <v>0.48250999999999999</v>
      </c>
      <c r="G78" s="18">
        <v>0.45832499999999998</v>
      </c>
      <c r="J78" s="54">
        <v>8</v>
      </c>
      <c r="K78" s="54">
        <v>106.42699999999999</v>
      </c>
      <c r="L78" s="55">
        <f t="shared" si="0"/>
        <v>851.41599999999994</v>
      </c>
      <c r="M78" s="55"/>
    </row>
    <row r="79" spans="1:21" ht="12.75" x14ac:dyDescent="0.2">
      <c r="A79" s="13" t="s">
        <v>12</v>
      </c>
      <c r="B79" s="16">
        <v>1.12778</v>
      </c>
      <c r="C79" s="16">
        <v>1.1637900000000001</v>
      </c>
      <c r="D79" s="17">
        <v>7.8035999999999994E-2</v>
      </c>
      <c r="E79" s="17">
        <v>9.5667000000000002E-2</v>
      </c>
      <c r="F79" s="18">
        <v>0.52391399999999999</v>
      </c>
      <c r="G79" s="18">
        <v>0.48990400000000001</v>
      </c>
      <c r="J79" s="28">
        <v>16</v>
      </c>
      <c r="K79" s="28">
        <v>91.776350000000008</v>
      </c>
      <c r="L79" s="13">
        <f t="shared" si="0"/>
        <v>1468.4216000000001</v>
      </c>
      <c r="M79" s="65"/>
      <c r="N79" s="69" t="s">
        <v>322</v>
      </c>
      <c r="O79" s="70"/>
      <c r="P79" s="70"/>
      <c r="Q79" s="71"/>
      <c r="R79" s="44"/>
      <c r="S79" s="44"/>
      <c r="T79" s="44"/>
      <c r="U79" s="44"/>
    </row>
    <row r="80" spans="1:21" ht="12.75" x14ac:dyDescent="0.2">
      <c r="A80" s="13" t="s">
        <v>13</v>
      </c>
      <c r="B80" s="16">
        <v>2.22472</v>
      </c>
      <c r="C80" s="16">
        <v>2.2135600000000002</v>
      </c>
      <c r="D80" s="17">
        <v>2.3484700000000001E-2</v>
      </c>
      <c r="E80" s="17">
        <v>3.8548499999999999E-2</v>
      </c>
      <c r="F80" s="18">
        <v>0.54540599999999995</v>
      </c>
      <c r="G80" s="18">
        <v>0.51992400000000005</v>
      </c>
      <c r="J80" s="28">
        <v>32</v>
      </c>
      <c r="K80" s="28">
        <v>63.395499999999998</v>
      </c>
      <c r="L80" s="13">
        <f t="shared" si="0"/>
        <v>2028.6559999999999</v>
      </c>
      <c r="M80" s="65"/>
      <c r="N80" s="72"/>
      <c r="O80" s="73"/>
      <c r="P80" s="73"/>
      <c r="Q80" s="74"/>
      <c r="R80" s="44"/>
      <c r="S80" s="44"/>
      <c r="T80" s="44"/>
      <c r="U80" s="44"/>
    </row>
    <row r="81" spans="1:18" ht="13.5" thickBot="1" x14ac:dyDescent="0.25">
      <c r="A81" s="13" t="s">
        <v>14</v>
      </c>
      <c r="B81" s="13"/>
      <c r="C81" s="18">
        <v>0.59696300000000002</v>
      </c>
      <c r="D81" s="34">
        <v>8.3078000000000006E-3</v>
      </c>
      <c r="E81" s="17">
        <v>1.39852E-2</v>
      </c>
      <c r="F81" s="18">
        <v>0.53913800000000001</v>
      </c>
      <c r="G81" s="18">
        <v>0.528312</v>
      </c>
      <c r="J81" s="28">
        <v>64</v>
      </c>
      <c r="K81" s="28">
        <v>39.211600000000004</v>
      </c>
      <c r="L81" s="13">
        <f t="shared" si="0"/>
        <v>2509.5424000000003</v>
      </c>
      <c r="M81" s="65"/>
      <c r="N81" s="75"/>
      <c r="O81" s="76"/>
      <c r="P81" s="76"/>
      <c r="Q81" s="77"/>
    </row>
    <row r="82" spans="1:18" ht="12.75" x14ac:dyDescent="0.2">
      <c r="J82" s="54">
        <v>128</v>
      </c>
      <c r="K82" s="54">
        <v>12.319305</v>
      </c>
      <c r="L82" s="55">
        <f t="shared" si="0"/>
        <v>1576.87104</v>
      </c>
      <c r="M82" s="55"/>
    </row>
    <row r="83" spans="1:18" ht="12.75" x14ac:dyDescent="0.2">
      <c r="A83" s="13" t="s">
        <v>240</v>
      </c>
      <c r="B83" s="14">
        <v>1</v>
      </c>
      <c r="C83" s="14">
        <v>2</v>
      </c>
      <c r="D83" s="14">
        <v>3</v>
      </c>
      <c r="E83" s="14">
        <v>4</v>
      </c>
      <c r="F83" s="14">
        <v>5</v>
      </c>
      <c r="G83" s="14">
        <v>6</v>
      </c>
      <c r="H83" s="1"/>
      <c r="I83" s="1"/>
      <c r="J83" s="54">
        <v>256</v>
      </c>
      <c r="K83" s="54">
        <v>3.41215</v>
      </c>
      <c r="L83" s="55">
        <f t="shared" si="0"/>
        <v>873.5104</v>
      </c>
      <c r="M83" s="55"/>
    </row>
    <row r="84" spans="1:18" ht="12.75" x14ac:dyDescent="0.2">
      <c r="A84" s="13" t="s">
        <v>7</v>
      </c>
      <c r="B84" s="15">
        <v>17.235099999999999</v>
      </c>
      <c r="C84" s="15">
        <v>15.7249</v>
      </c>
      <c r="D84" s="15">
        <v>41.642800000000001</v>
      </c>
      <c r="E84" s="15">
        <v>79.534899999999993</v>
      </c>
      <c r="F84" s="16">
        <v>1.72465</v>
      </c>
      <c r="G84" s="16">
        <v>8.2655499999999993</v>
      </c>
      <c r="J84" s="54">
        <v>512</v>
      </c>
      <c r="K84" s="54">
        <v>1.72465</v>
      </c>
      <c r="L84" s="55">
        <f t="shared" si="0"/>
        <v>883.02080000000001</v>
      </c>
      <c r="M84" s="55"/>
      <c r="P84" s="42"/>
      <c r="Q84" s="46"/>
    </row>
    <row r="85" spans="1:18" ht="12.75" x14ac:dyDescent="0.2">
      <c r="A85" s="13" t="s">
        <v>8</v>
      </c>
      <c r="B85" s="15">
        <v>30.2593</v>
      </c>
      <c r="C85" s="15">
        <v>29.7836</v>
      </c>
      <c r="D85" s="15">
        <v>83.369699999999995</v>
      </c>
      <c r="E85" s="15">
        <v>83.274500000000003</v>
      </c>
      <c r="F85" s="15">
        <v>68.491299999999995</v>
      </c>
      <c r="G85" s="15">
        <v>68.7971</v>
      </c>
      <c r="P85" s="42"/>
      <c r="Q85" s="46"/>
    </row>
    <row r="86" spans="1:18" ht="12.75" x14ac:dyDescent="0.2">
      <c r="A86" s="13" t="s">
        <v>9</v>
      </c>
      <c r="B86" s="15">
        <v>60.9846</v>
      </c>
      <c r="C86" s="15">
        <v>60.642699999999998</v>
      </c>
      <c r="D86" s="53">
        <v>107.663</v>
      </c>
      <c r="E86" s="53">
        <v>105.191</v>
      </c>
      <c r="F86" s="53">
        <v>128.547</v>
      </c>
      <c r="G86" s="53">
        <v>113.517</v>
      </c>
      <c r="J86" s="79" t="s">
        <v>319</v>
      </c>
      <c r="K86" s="79"/>
      <c r="L86" s="59"/>
      <c r="M86" s="59"/>
      <c r="O86" s="80" t="s">
        <v>320</v>
      </c>
      <c r="P86" s="68"/>
      <c r="Q86" s="68"/>
      <c r="R86" s="57"/>
    </row>
    <row r="87" spans="1:18" ht="12.75" x14ac:dyDescent="0.2">
      <c r="A87" s="13" t="s">
        <v>10</v>
      </c>
      <c r="B87" s="53">
        <v>138.47499999999999</v>
      </c>
      <c r="C87" s="53">
        <v>120.10899999999999</v>
      </c>
      <c r="D87" s="15">
        <v>92.446399999999997</v>
      </c>
      <c r="E87" s="15">
        <v>91.106300000000005</v>
      </c>
      <c r="F87" s="53">
        <v>158.53</v>
      </c>
      <c r="G87" s="53">
        <v>144.43199999999999</v>
      </c>
      <c r="J87" s="28"/>
      <c r="K87" s="13" t="s">
        <v>223</v>
      </c>
      <c r="L87" s="13" t="s">
        <v>224</v>
      </c>
      <c r="M87" s="13" t="s">
        <v>222</v>
      </c>
      <c r="O87" s="52" t="s">
        <v>242</v>
      </c>
      <c r="P87" s="52" t="s">
        <v>243</v>
      </c>
      <c r="Q87" s="52" t="s">
        <v>244</v>
      </c>
      <c r="R87" s="58" t="s">
        <v>321</v>
      </c>
    </row>
    <row r="88" spans="1:18" ht="12.75" x14ac:dyDescent="0.2">
      <c r="A88" s="13" t="s">
        <v>11</v>
      </c>
      <c r="B88" s="53">
        <v>240.95</v>
      </c>
      <c r="C88" s="53">
        <v>252.77199999999999</v>
      </c>
      <c r="D88" s="15">
        <v>72.449100000000001</v>
      </c>
      <c r="E88" s="15">
        <v>54.341900000000003</v>
      </c>
      <c r="F88" s="53">
        <v>213.12200000000001</v>
      </c>
      <c r="G88" s="53">
        <v>202.709</v>
      </c>
      <c r="J88" s="54" t="s">
        <v>291</v>
      </c>
      <c r="K88" s="55">
        <v>342.412195</v>
      </c>
      <c r="L88" s="55">
        <v>68.644199999999998</v>
      </c>
      <c r="M88" s="55">
        <f t="shared" ref="M88:M96" si="1">(L88/K88)*100</f>
        <v>20.04724160014219</v>
      </c>
      <c r="O88" s="52">
        <v>168</v>
      </c>
      <c r="P88" s="52">
        <v>72</v>
      </c>
      <c r="Q88" s="13">
        <v>1000</v>
      </c>
      <c r="R88" s="28">
        <v>300</v>
      </c>
    </row>
    <row r="89" spans="1:18" ht="12.75" x14ac:dyDescent="0.2">
      <c r="A89" s="13" t="s">
        <v>12</v>
      </c>
      <c r="B89" s="53">
        <v>493.06200000000001</v>
      </c>
      <c r="C89" s="53">
        <v>508.97800000000001</v>
      </c>
      <c r="D89" s="15">
        <v>35.105899999999998</v>
      </c>
      <c r="E89" s="15">
        <v>43.317300000000003</v>
      </c>
      <c r="F89" s="53">
        <v>230.93700000000001</v>
      </c>
      <c r="G89" s="53">
        <v>216.304</v>
      </c>
      <c r="J89" s="54" t="s">
        <v>292</v>
      </c>
      <c r="K89" s="55">
        <v>358.32547</v>
      </c>
      <c r="L89" s="55">
        <v>121.032</v>
      </c>
      <c r="M89" s="55">
        <f t="shared" si="1"/>
        <v>33.77711330428172</v>
      </c>
      <c r="P89" s="42"/>
      <c r="Q89" s="46"/>
    </row>
    <row r="90" spans="1:18" ht="12.75" x14ac:dyDescent="0.2">
      <c r="A90" s="13" t="s">
        <v>13</v>
      </c>
      <c r="B90" s="14">
        <v>1002.61</v>
      </c>
      <c r="C90" s="53">
        <v>997.12300000000005</v>
      </c>
      <c r="D90" s="16">
        <v>8.5035100000000003</v>
      </c>
      <c r="E90" s="15">
        <v>16.135100000000001</v>
      </c>
      <c r="F90" s="53">
        <v>240.18199999999999</v>
      </c>
      <c r="G90" s="53">
        <v>229.221</v>
      </c>
      <c r="J90" s="54" t="s">
        <v>293</v>
      </c>
      <c r="K90" s="55">
        <v>374.49889999999999</v>
      </c>
      <c r="L90" s="55">
        <v>151.48099999999999</v>
      </c>
      <c r="M90" s="55">
        <f t="shared" si="1"/>
        <v>40.448983962302691</v>
      </c>
      <c r="P90" s="42"/>
      <c r="Q90" s="46"/>
    </row>
    <row r="91" spans="1:18" ht="12.75" x14ac:dyDescent="0.2">
      <c r="A91" s="13" t="s">
        <v>14</v>
      </c>
      <c r="B91" s="13"/>
      <c r="C91" s="53">
        <v>262.36</v>
      </c>
      <c r="D91" s="13" t="s">
        <v>75</v>
      </c>
      <c r="E91" s="16">
        <v>3.41215</v>
      </c>
      <c r="F91" s="53">
        <v>237.48599999999999</v>
      </c>
      <c r="G91" s="53">
        <v>232.82900000000001</v>
      </c>
      <c r="J91" s="54" t="s">
        <v>294</v>
      </c>
      <c r="K91" s="55">
        <v>364.24344500000001</v>
      </c>
      <c r="L91" s="55">
        <v>207.91550000000001</v>
      </c>
      <c r="M91" s="55">
        <f t="shared" si="1"/>
        <v>57.081466490083301</v>
      </c>
      <c r="P91" s="42"/>
    </row>
    <row r="92" spans="1:18" ht="12.75" x14ac:dyDescent="0.2">
      <c r="J92" s="54" t="s">
        <v>295</v>
      </c>
      <c r="K92" s="55">
        <v>344.37684999999999</v>
      </c>
      <c r="L92" s="55">
        <v>223.62049999999999</v>
      </c>
      <c r="M92" s="55">
        <f t="shared" si="1"/>
        <v>64.934823580621057</v>
      </c>
      <c r="P92" s="42"/>
    </row>
    <row r="93" spans="1:18" ht="12.75" x14ac:dyDescent="0.2">
      <c r="A93" s="13" t="s">
        <v>15</v>
      </c>
      <c r="B93" s="14">
        <v>1</v>
      </c>
      <c r="C93" s="14">
        <v>2</v>
      </c>
      <c r="D93" s="14">
        <v>3</v>
      </c>
      <c r="E93" s="14">
        <v>4</v>
      </c>
      <c r="F93" s="14">
        <v>5</v>
      </c>
      <c r="G93" s="14">
        <v>6</v>
      </c>
      <c r="H93" s="1"/>
      <c r="I93" s="1"/>
      <c r="J93" s="54" t="s">
        <v>296</v>
      </c>
      <c r="K93" s="55">
        <v>327.44812000000002</v>
      </c>
      <c r="L93" s="55">
        <v>234.70150000000001</v>
      </c>
      <c r="M93" s="55">
        <f t="shared" si="1"/>
        <v>71.675934496127198</v>
      </c>
      <c r="P93" s="42"/>
    </row>
    <row r="94" spans="1:18" ht="12.75" x14ac:dyDescent="0.2">
      <c r="A94" s="13" t="s">
        <v>7</v>
      </c>
      <c r="B94" s="13" t="s">
        <v>207</v>
      </c>
      <c r="C94" s="13" t="s">
        <v>207</v>
      </c>
      <c r="D94" s="13" t="s">
        <v>297</v>
      </c>
      <c r="E94" s="13" t="s">
        <v>297</v>
      </c>
      <c r="F94" s="13" t="s">
        <v>298</v>
      </c>
      <c r="G94" s="13" t="s">
        <v>298</v>
      </c>
      <c r="J94" s="54" t="s">
        <v>299</v>
      </c>
      <c r="K94" s="55">
        <v>308.6235135</v>
      </c>
      <c r="L94" s="55">
        <v>237.48599999999999</v>
      </c>
      <c r="M94" s="55">
        <f t="shared" si="1"/>
        <v>76.950066865206622</v>
      </c>
      <c r="P94" s="42"/>
    </row>
    <row r="95" spans="1:18" ht="12.75" x14ac:dyDescent="0.2">
      <c r="A95" s="13" t="s">
        <v>8</v>
      </c>
      <c r="B95" s="13" t="s">
        <v>206</v>
      </c>
      <c r="C95" s="13" t="s">
        <v>206</v>
      </c>
      <c r="D95" s="13" t="s">
        <v>300</v>
      </c>
      <c r="E95" s="13" t="s">
        <v>300</v>
      </c>
      <c r="F95" s="13" t="s">
        <v>301</v>
      </c>
      <c r="G95" s="13" t="s">
        <v>301</v>
      </c>
      <c r="J95" s="54" t="s">
        <v>302</v>
      </c>
      <c r="K95" s="55">
        <v>302.38850500000001</v>
      </c>
      <c r="L95" s="55">
        <v>232.82900000000001</v>
      </c>
      <c r="M95" s="55">
        <f t="shared" si="1"/>
        <v>76.996643771230652</v>
      </c>
    </row>
    <row r="96" spans="1:18" ht="12.75" x14ac:dyDescent="0.2">
      <c r="A96" s="13" t="s">
        <v>9</v>
      </c>
      <c r="B96" s="13" t="s">
        <v>205</v>
      </c>
      <c r="C96" s="13" t="s">
        <v>205</v>
      </c>
      <c r="D96" s="13" t="s">
        <v>303</v>
      </c>
      <c r="E96" s="13" t="s">
        <v>303</v>
      </c>
      <c r="F96" s="13" t="s">
        <v>304</v>
      </c>
      <c r="G96" s="13" t="s">
        <v>304</v>
      </c>
      <c r="J96" s="54" t="s">
        <v>305</v>
      </c>
      <c r="K96" s="55">
        <v>301.20725500000003</v>
      </c>
      <c r="L96" s="55">
        <v>262.36</v>
      </c>
      <c r="M96" s="55">
        <f t="shared" si="1"/>
        <v>87.102815634371083</v>
      </c>
    </row>
    <row r="97" spans="1:7" ht="12.75" x14ac:dyDescent="0.2">
      <c r="A97" s="13" t="s">
        <v>10</v>
      </c>
      <c r="B97" s="13" t="s">
        <v>204</v>
      </c>
      <c r="C97" s="13" t="s">
        <v>204</v>
      </c>
      <c r="D97" s="13" t="s">
        <v>306</v>
      </c>
      <c r="E97" s="13" t="s">
        <v>306</v>
      </c>
      <c r="F97" s="13" t="s">
        <v>307</v>
      </c>
      <c r="G97" s="13" t="s">
        <v>307</v>
      </c>
    </row>
    <row r="98" spans="1:7" ht="12.75" x14ac:dyDescent="0.2">
      <c r="A98" s="13" t="s">
        <v>11</v>
      </c>
      <c r="B98" s="13" t="s">
        <v>203</v>
      </c>
      <c r="C98" s="13" t="s">
        <v>203</v>
      </c>
      <c r="D98" s="13" t="s">
        <v>308</v>
      </c>
      <c r="E98" s="13" t="s">
        <v>308</v>
      </c>
      <c r="F98" s="13" t="s">
        <v>309</v>
      </c>
      <c r="G98" s="13" t="s">
        <v>309</v>
      </c>
    </row>
    <row r="99" spans="1:7" ht="12.75" x14ac:dyDescent="0.2">
      <c r="A99" s="13" t="s">
        <v>12</v>
      </c>
      <c r="B99" s="13" t="s">
        <v>202</v>
      </c>
      <c r="C99" s="13" t="s">
        <v>202</v>
      </c>
      <c r="D99" s="13" t="s">
        <v>310</v>
      </c>
      <c r="E99" s="13" t="s">
        <v>310</v>
      </c>
      <c r="F99" s="13" t="s">
        <v>311</v>
      </c>
      <c r="G99" s="13" t="s">
        <v>311</v>
      </c>
    </row>
    <row r="100" spans="1:7" ht="12.75" x14ac:dyDescent="0.2">
      <c r="A100" s="13" t="s">
        <v>13</v>
      </c>
      <c r="B100" s="13" t="s">
        <v>201</v>
      </c>
      <c r="C100" s="13" t="s">
        <v>201</v>
      </c>
      <c r="D100" s="13" t="s">
        <v>312</v>
      </c>
      <c r="E100" s="13" t="s">
        <v>312</v>
      </c>
      <c r="F100" s="13" t="s">
        <v>313</v>
      </c>
      <c r="G100" s="13" t="s">
        <v>313</v>
      </c>
    </row>
    <row r="101" spans="1:7" ht="12.75" x14ac:dyDescent="0.2">
      <c r="A101" s="13" t="s">
        <v>14</v>
      </c>
      <c r="B101" s="13" t="s">
        <v>37</v>
      </c>
      <c r="C101" s="13" t="s">
        <v>314</v>
      </c>
      <c r="D101" s="13" t="s">
        <v>315</v>
      </c>
      <c r="E101" s="13" t="s">
        <v>315</v>
      </c>
      <c r="F101" s="13" t="s">
        <v>316</v>
      </c>
      <c r="G101" s="13" t="s">
        <v>317</v>
      </c>
    </row>
    <row r="103" spans="1:7" ht="12.75" x14ac:dyDescent="0.2">
      <c r="A103" t="s">
        <v>76</v>
      </c>
    </row>
  </sheetData>
  <mergeCells count="4">
    <mergeCell ref="N79:Q81"/>
    <mergeCell ref="J74:L74"/>
    <mergeCell ref="J86:K86"/>
    <mergeCell ref="O86:Q8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004AC-AA78-4B1B-864E-710FF916BD97}">
  <dimension ref="A1:T106"/>
  <sheetViews>
    <sheetView topLeftCell="E71" workbookViewId="0">
      <selection activeCell="T94" sqref="T94"/>
    </sheetView>
  </sheetViews>
  <sheetFormatPr defaultColWidth="9.140625" defaultRowHeight="15" customHeight="1" x14ac:dyDescent="0.2"/>
  <cols>
    <col min="1" max="1" width="9.85546875" style="19" customWidth="1"/>
    <col min="2" max="2" width="11.28515625" style="19" customWidth="1"/>
    <col min="3" max="3" width="12.42578125" style="19" customWidth="1"/>
    <col min="4" max="5" width="20.5703125" style="19" customWidth="1"/>
    <col min="6" max="7" width="21.85546875" style="19" customWidth="1"/>
    <col min="8" max="8" width="6.7109375" style="19" customWidth="1"/>
    <col min="9" max="9" width="24.7109375" style="19" customWidth="1"/>
    <col min="10" max="12" width="13.42578125" style="19" customWidth="1"/>
    <col min="13" max="13" width="9.140625" style="19"/>
    <col min="14" max="14" width="9.28515625" style="19" customWidth="1"/>
    <col min="15" max="15" width="18.140625" style="19" customWidth="1"/>
    <col min="16" max="19" width="14.7109375" style="19" customWidth="1"/>
    <col min="20" max="20" width="22" style="19" customWidth="1"/>
    <col min="21" max="16384" width="9.140625" style="19"/>
  </cols>
  <sheetData>
    <row r="1" spans="1:1" ht="15" customHeight="1" x14ac:dyDescent="0.2">
      <c r="A1" s="19" t="s">
        <v>0</v>
      </c>
    </row>
    <row r="2" spans="1:1" ht="15" customHeight="1" x14ac:dyDescent="0.2">
      <c r="A2" s="19" t="s">
        <v>323</v>
      </c>
    </row>
    <row r="3" spans="1:1" ht="15" customHeight="1" x14ac:dyDescent="0.2">
      <c r="A3" s="19" t="s">
        <v>324</v>
      </c>
    </row>
    <row r="4" spans="1:1" ht="15" customHeight="1" x14ac:dyDescent="0.2">
      <c r="A4" s="19" t="s">
        <v>3</v>
      </c>
    </row>
    <row r="5" spans="1:1" ht="15" customHeight="1" x14ac:dyDescent="0.2">
      <c r="A5" s="19" t="s">
        <v>77</v>
      </c>
    </row>
    <row r="7" spans="1:1" ht="15" customHeight="1" x14ac:dyDescent="0.2">
      <c r="A7" s="19" t="s">
        <v>41</v>
      </c>
    </row>
    <row r="8" spans="1:1" ht="15" customHeight="1" x14ac:dyDescent="0.2">
      <c r="A8" s="19" t="s">
        <v>42</v>
      </c>
    </row>
    <row r="9" spans="1:1" ht="15" customHeight="1" x14ac:dyDescent="0.2">
      <c r="A9" s="19" t="s">
        <v>43</v>
      </c>
    </row>
    <row r="10" spans="1:1" ht="15" customHeight="1" x14ac:dyDescent="0.2">
      <c r="A10" s="19" t="s">
        <v>5</v>
      </c>
    </row>
    <row r="11" spans="1:1" ht="15" customHeight="1" x14ac:dyDescent="0.2">
      <c r="A11" s="19" t="s">
        <v>44</v>
      </c>
    </row>
    <row r="12" spans="1:1" ht="15" customHeight="1" x14ac:dyDescent="0.2">
      <c r="A12" s="19" t="s">
        <v>45</v>
      </c>
    </row>
    <row r="13" spans="1:1" ht="15" customHeight="1" x14ac:dyDescent="0.2">
      <c r="A13" s="19" t="s">
        <v>3</v>
      </c>
    </row>
    <row r="15" spans="1:1" ht="15" customHeight="1" x14ac:dyDescent="0.2">
      <c r="A15" s="19" t="s">
        <v>3</v>
      </c>
    </row>
    <row r="36" spans="1:7" ht="15" customHeight="1" x14ac:dyDescent="0.2">
      <c r="A36" s="19" t="s">
        <v>325</v>
      </c>
    </row>
    <row r="38" spans="1:7" ht="15" customHeight="1" x14ac:dyDescent="0.2">
      <c r="A38" s="19" t="s">
        <v>46</v>
      </c>
    </row>
    <row r="39" spans="1:7" ht="12.75" x14ac:dyDescent="0.2">
      <c r="A39" s="19" t="s">
        <v>47</v>
      </c>
    </row>
    <row r="40" spans="1:7" ht="12.75" x14ac:dyDescent="0.2">
      <c r="A40" s="19" t="s">
        <v>48</v>
      </c>
      <c r="B40" s="20">
        <v>1.8054899999999999E-2</v>
      </c>
    </row>
    <row r="41" spans="1:7" ht="12.75" x14ac:dyDescent="0.2">
      <c r="A41" s="19" t="s">
        <v>49</v>
      </c>
      <c r="B41" s="21">
        <v>1.2776099999999999</v>
      </c>
    </row>
    <row r="42" spans="1:7" ht="12.75" x14ac:dyDescent="0.2">
      <c r="A42" s="19" t="s">
        <v>50</v>
      </c>
      <c r="B42" s="60">
        <v>1031.0999999999999</v>
      </c>
    </row>
    <row r="43" spans="1:7" ht="12.75" x14ac:dyDescent="0.2">
      <c r="A43" s="19" t="s">
        <v>51</v>
      </c>
      <c r="B43" s="21">
        <v>4.5370400000000002</v>
      </c>
    </row>
    <row r="44" spans="1:7" ht="12.75" x14ac:dyDescent="0.2"/>
    <row r="45" spans="1:7" ht="12.75" x14ac:dyDescent="0.2">
      <c r="A45" s="19" t="s">
        <v>52</v>
      </c>
    </row>
    <row r="46" spans="1:7" ht="12.75" x14ac:dyDescent="0.2">
      <c r="A46" s="19" t="s">
        <v>3</v>
      </c>
    </row>
    <row r="47" spans="1:7" ht="12.75" x14ac:dyDescent="0.2">
      <c r="A47" s="19" t="s">
        <v>53</v>
      </c>
      <c r="B47" s="19" t="s">
        <v>15</v>
      </c>
      <c r="C47" s="19" t="s">
        <v>326</v>
      </c>
      <c r="D47" s="19" t="s">
        <v>55</v>
      </c>
      <c r="E47" s="19" t="s">
        <v>56</v>
      </c>
      <c r="F47" s="19" t="s">
        <v>57</v>
      </c>
      <c r="G47" s="19" t="s">
        <v>58</v>
      </c>
    </row>
    <row r="48" spans="1:7" ht="12.75" x14ac:dyDescent="0.2">
      <c r="A48" s="19" t="s">
        <v>59</v>
      </c>
      <c r="B48" s="19" t="s">
        <v>34</v>
      </c>
      <c r="C48" s="19">
        <v>1000</v>
      </c>
      <c r="D48" s="21">
        <v>2.2313100000000001</v>
      </c>
      <c r="E48" s="25">
        <v>3.8028200000000002E-3</v>
      </c>
      <c r="F48" s="21">
        <v>2.2333400000000001</v>
      </c>
      <c r="G48" s="25">
        <v>-2.0312300000000002E-3</v>
      </c>
    </row>
    <row r="49" spans="1:7" ht="12.75" x14ac:dyDescent="0.2">
      <c r="A49" s="19" t="s">
        <v>60</v>
      </c>
      <c r="B49" s="19" t="s">
        <v>34</v>
      </c>
      <c r="C49" s="19">
        <v>1000</v>
      </c>
      <c r="D49" s="21">
        <v>2.2312500000000002</v>
      </c>
      <c r="F49" s="21">
        <v>2.2333400000000001</v>
      </c>
      <c r="G49" s="25">
        <v>-2.0912299999999999E-3</v>
      </c>
    </row>
    <row r="50" spans="1:7" ht="12.75" x14ac:dyDescent="0.2">
      <c r="A50" s="19" t="s">
        <v>61</v>
      </c>
      <c r="B50" s="19" t="s">
        <v>34</v>
      </c>
      <c r="C50" s="19">
        <v>1000</v>
      </c>
      <c r="D50" s="21">
        <v>2.2313700000000001</v>
      </c>
      <c r="F50" s="21">
        <v>2.2333400000000001</v>
      </c>
      <c r="G50" s="25">
        <v>-1.97123E-3</v>
      </c>
    </row>
    <row r="51" spans="1:7" ht="12.75" x14ac:dyDescent="0.2">
      <c r="A51" s="19" t="s">
        <v>59</v>
      </c>
      <c r="B51" s="19" t="s">
        <v>31</v>
      </c>
      <c r="C51" s="24">
        <v>500</v>
      </c>
      <c r="D51" s="21">
        <v>1.31158</v>
      </c>
      <c r="E51" s="21">
        <v>8.7688900000000007</v>
      </c>
      <c r="F51" s="21">
        <v>1.30145</v>
      </c>
      <c r="G51" s="20">
        <v>1.0127199999999999E-2</v>
      </c>
    </row>
    <row r="52" spans="1:7" ht="12.75" x14ac:dyDescent="0.2">
      <c r="A52" s="19" t="s">
        <v>62</v>
      </c>
      <c r="B52" s="19" t="s">
        <v>31</v>
      </c>
      <c r="C52" s="24">
        <v>500</v>
      </c>
      <c r="D52" s="21">
        <v>1.3929</v>
      </c>
      <c r="F52" s="21">
        <v>1.30145</v>
      </c>
      <c r="G52" s="20">
        <v>9.1452199999999997E-2</v>
      </c>
    </row>
    <row r="53" spans="1:7" ht="12.75" x14ac:dyDescent="0.2">
      <c r="A53" s="19" t="s">
        <v>63</v>
      </c>
      <c r="B53" s="19" t="s">
        <v>31</v>
      </c>
      <c r="C53" s="24">
        <v>500</v>
      </c>
      <c r="D53" s="21">
        <v>1.2302500000000001</v>
      </c>
      <c r="F53" s="21">
        <v>1.30145</v>
      </c>
      <c r="G53" s="20">
        <v>-7.1197800000000006E-2</v>
      </c>
    </row>
    <row r="54" spans="1:7" ht="12.75" x14ac:dyDescent="0.2">
      <c r="A54" s="19" t="s">
        <v>59</v>
      </c>
      <c r="B54" s="19" t="s">
        <v>28</v>
      </c>
      <c r="C54" s="24">
        <v>250</v>
      </c>
      <c r="D54" s="26">
        <v>0.63541199999999998</v>
      </c>
      <c r="E54" s="21">
        <v>4.16221</v>
      </c>
      <c r="F54" s="26">
        <v>0.65344800000000003</v>
      </c>
      <c r="G54" s="20">
        <v>-1.8036199999999999E-2</v>
      </c>
    </row>
    <row r="55" spans="1:7" ht="12.75" x14ac:dyDescent="0.2">
      <c r="A55" s="19" t="s">
        <v>64</v>
      </c>
      <c r="B55" s="19" t="s">
        <v>28</v>
      </c>
      <c r="C55" s="24">
        <v>250</v>
      </c>
      <c r="D55" s="26">
        <v>0.65411300000000006</v>
      </c>
      <c r="F55" s="26">
        <v>0.65344800000000003</v>
      </c>
      <c r="G55" s="23">
        <v>6.6483700000000005E-4</v>
      </c>
    </row>
    <row r="56" spans="1:7" ht="12.75" x14ac:dyDescent="0.2">
      <c r="A56" s="19" t="s">
        <v>65</v>
      </c>
      <c r="B56" s="19" t="s">
        <v>28</v>
      </c>
      <c r="C56" s="24">
        <v>250</v>
      </c>
      <c r="D56" s="26">
        <v>0.61671100000000001</v>
      </c>
      <c r="F56" s="26">
        <v>0.65344800000000003</v>
      </c>
      <c r="G56" s="20">
        <v>-3.6737199999999998E-2</v>
      </c>
    </row>
    <row r="57" spans="1:7" ht="12.75" x14ac:dyDescent="0.2">
      <c r="A57" s="19" t="s">
        <v>59</v>
      </c>
      <c r="B57" s="19" t="s">
        <v>25</v>
      </c>
      <c r="C57" s="24">
        <v>125</v>
      </c>
      <c r="D57" s="26">
        <v>0.308697</v>
      </c>
      <c r="E57" s="27">
        <v>11.898199999999999</v>
      </c>
      <c r="F57" s="26">
        <v>0.30374200000000001</v>
      </c>
      <c r="G57" s="25">
        <v>4.9552399999999996E-3</v>
      </c>
    </row>
    <row r="58" spans="1:7" ht="12.75" x14ac:dyDescent="0.2">
      <c r="A58" s="19" t="s">
        <v>66</v>
      </c>
      <c r="B58" s="19" t="s">
        <v>25</v>
      </c>
      <c r="C58" s="24">
        <v>125</v>
      </c>
      <c r="D58" s="26">
        <v>0.33466800000000002</v>
      </c>
      <c r="F58" s="26">
        <v>0.30374200000000001</v>
      </c>
      <c r="G58" s="20">
        <v>3.0926700000000001E-2</v>
      </c>
    </row>
    <row r="59" spans="1:7" ht="12.75" x14ac:dyDescent="0.2">
      <c r="A59" s="19" t="s">
        <v>67</v>
      </c>
      <c r="B59" s="19" t="s">
        <v>25</v>
      </c>
      <c r="C59" s="24">
        <v>125</v>
      </c>
      <c r="D59" s="26">
        <v>0.282725</v>
      </c>
      <c r="F59" s="26">
        <v>0.30374200000000001</v>
      </c>
      <c r="G59" s="20">
        <v>-2.1016300000000002E-2</v>
      </c>
    </row>
    <row r="60" spans="1:7" ht="12.75" x14ac:dyDescent="0.2">
      <c r="A60" s="19" t="s">
        <v>59</v>
      </c>
      <c r="B60" s="19" t="s">
        <v>22</v>
      </c>
      <c r="C60" s="27">
        <v>62.5</v>
      </c>
      <c r="D60" s="26">
        <v>0.15046699999999999</v>
      </c>
      <c r="E60" s="21">
        <v>5.6106400000000001</v>
      </c>
      <c r="F60" s="26">
        <v>0.14044000000000001</v>
      </c>
      <c r="G60" s="20">
        <v>1.00264E-2</v>
      </c>
    </row>
    <row r="61" spans="1:7" ht="12.75" x14ac:dyDescent="0.2">
      <c r="A61" s="19" t="s">
        <v>68</v>
      </c>
      <c r="B61" s="19" t="s">
        <v>22</v>
      </c>
      <c r="C61" s="27">
        <v>62.5</v>
      </c>
      <c r="D61" s="26">
        <v>0.15643599999999999</v>
      </c>
      <c r="F61" s="26">
        <v>0.14044000000000001</v>
      </c>
      <c r="G61" s="20">
        <v>1.59959E-2</v>
      </c>
    </row>
    <row r="62" spans="1:7" ht="12.75" x14ac:dyDescent="0.2">
      <c r="A62" s="19" t="s">
        <v>69</v>
      </c>
      <c r="B62" s="19" t="s">
        <v>22</v>
      </c>
      <c r="C62" s="27">
        <v>62.5</v>
      </c>
      <c r="D62" s="26">
        <v>0.14449699999999999</v>
      </c>
      <c r="F62" s="26">
        <v>0.14044000000000001</v>
      </c>
      <c r="G62" s="25">
        <v>4.0569500000000001E-3</v>
      </c>
    </row>
    <row r="63" spans="1:7" ht="12.75" x14ac:dyDescent="0.2">
      <c r="A63" s="19" t="s">
        <v>59</v>
      </c>
      <c r="B63" s="19" t="s">
        <v>19</v>
      </c>
      <c r="C63" s="27">
        <v>31.25</v>
      </c>
      <c r="D63" s="20">
        <v>7.4521799999999999E-2</v>
      </c>
      <c r="E63" s="21">
        <v>2.5476899999999998</v>
      </c>
      <c r="F63" s="20">
        <v>6.93526E-2</v>
      </c>
      <c r="G63" s="25">
        <v>5.1692500000000002E-3</v>
      </c>
    </row>
    <row r="64" spans="1:7" ht="12.75" x14ac:dyDescent="0.2">
      <c r="A64" s="19" t="s">
        <v>70</v>
      </c>
      <c r="B64" s="19" t="s">
        <v>19</v>
      </c>
      <c r="C64" s="27">
        <v>31.25</v>
      </c>
      <c r="D64" s="20">
        <v>7.5864299999999996E-2</v>
      </c>
      <c r="F64" s="20">
        <v>6.93526E-2</v>
      </c>
      <c r="G64" s="25">
        <v>6.5117500000000002E-3</v>
      </c>
    </row>
    <row r="65" spans="1:7" ht="12.75" x14ac:dyDescent="0.2">
      <c r="A65" s="19" t="s">
        <v>71</v>
      </c>
      <c r="B65" s="19" t="s">
        <v>19</v>
      </c>
      <c r="C65" s="27">
        <v>31.25</v>
      </c>
      <c r="D65" s="20">
        <v>7.3179300000000003E-2</v>
      </c>
      <c r="F65" s="20">
        <v>6.93526E-2</v>
      </c>
      <c r="G65" s="25">
        <v>3.8267499999999999E-3</v>
      </c>
    </row>
    <row r="66" spans="1:7" ht="12.75" x14ac:dyDescent="0.2">
      <c r="A66" s="19" t="s">
        <v>59</v>
      </c>
      <c r="B66" s="19" t="s">
        <v>16</v>
      </c>
      <c r="C66" s="27">
        <v>15.625</v>
      </c>
      <c r="D66" s="20">
        <v>4.1924999999999997E-2</v>
      </c>
      <c r="E66" s="21">
        <v>7.4006400000000001</v>
      </c>
      <c r="F66" s="20">
        <v>3.9356200000000001E-2</v>
      </c>
      <c r="G66" s="25">
        <v>2.5687800000000001E-3</v>
      </c>
    </row>
    <row r="67" spans="1:7" ht="12.75" x14ac:dyDescent="0.2">
      <c r="A67" s="19" t="s">
        <v>72</v>
      </c>
      <c r="B67" s="19" t="s">
        <v>16</v>
      </c>
      <c r="C67" s="27">
        <v>15.625</v>
      </c>
      <c r="D67" s="20">
        <v>4.4118900000000003E-2</v>
      </c>
      <c r="F67" s="20">
        <v>3.9356200000000001E-2</v>
      </c>
      <c r="G67" s="25">
        <v>4.7627299999999997E-3</v>
      </c>
    </row>
    <row r="68" spans="1:7" ht="12.75" x14ac:dyDescent="0.2">
      <c r="A68" s="19" t="s">
        <v>73</v>
      </c>
      <c r="B68" s="19" t="s">
        <v>16</v>
      </c>
      <c r="C68" s="27">
        <v>15.625</v>
      </c>
      <c r="D68" s="20">
        <v>3.9731000000000002E-2</v>
      </c>
      <c r="F68" s="20">
        <v>3.9356200000000001E-2</v>
      </c>
      <c r="G68" s="23">
        <v>3.7482699999999999E-4</v>
      </c>
    </row>
    <row r="69" spans="1:7" ht="12.75" x14ac:dyDescent="0.2">
      <c r="A69" s="19" t="s">
        <v>59</v>
      </c>
      <c r="B69" s="19" t="s">
        <v>327</v>
      </c>
      <c r="C69" s="61">
        <v>0</v>
      </c>
      <c r="D69" s="25">
        <v>5.2754000000000004E-3</v>
      </c>
      <c r="E69" s="19" t="s">
        <v>328</v>
      </c>
      <c r="F69" s="20">
        <v>1.8054899999999999E-2</v>
      </c>
      <c r="G69" s="20">
        <v>-1.2779499999999999E-2</v>
      </c>
    </row>
    <row r="70" spans="1:7" ht="12.75" x14ac:dyDescent="0.2">
      <c r="A70" s="19" t="s">
        <v>329</v>
      </c>
      <c r="B70" s="19" t="s">
        <v>327</v>
      </c>
      <c r="C70" s="61">
        <v>0</v>
      </c>
      <c r="D70" s="25">
        <v>5.2754000000000004E-3</v>
      </c>
      <c r="F70" s="20">
        <v>1.8054899999999999E-2</v>
      </c>
      <c r="G70" s="20">
        <v>-1.2779499999999999E-2</v>
      </c>
    </row>
    <row r="71" spans="1:7" ht="12.75" x14ac:dyDescent="0.2"/>
    <row r="72" spans="1:7" ht="12.75" x14ac:dyDescent="0.2"/>
    <row r="73" spans="1:7" ht="12.75" x14ac:dyDescent="0.2">
      <c r="A73" s="19" t="s">
        <v>6</v>
      </c>
    </row>
    <row r="74" spans="1:7" ht="12.75" x14ac:dyDescent="0.2">
      <c r="A74" s="19" t="s">
        <v>3</v>
      </c>
    </row>
    <row r="75" spans="1:7" ht="12.75" x14ac:dyDescent="0.2">
      <c r="A75" s="28" t="s">
        <v>74</v>
      </c>
      <c r="B75" s="28">
        <v>1</v>
      </c>
      <c r="C75" s="28">
        <v>2</v>
      </c>
      <c r="D75" s="28">
        <v>3</v>
      </c>
      <c r="E75" s="28">
        <v>4</v>
      </c>
      <c r="F75" s="28">
        <v>5</v>
      </c>
      <c r="G75" s="28">
        <v>6</v>
      </c>
    </row>
    <row r="76" spans="1:7" ht="12.75" x14ac:dyDescent="0.2">
      <c r="A76" s="28" t="s">
        <v>7</v>
      </c>
      <c r="B76" s="29">
        <v>4.4118900000000003E-2</v>
      </c>
      <c r="C76" s="29">
        <v>3.9731000000000002E-2</v>
      </c>
      <c r="D76" s="29">
        <v>7.6006299999999999E-2</v>
      </c>
      <c r="E76" s="29">
        <v>7.9682299999999998E-2</v>
      </c>
      <c r="F76" s="30">
        <v>0.16561500000000001</v>
      </c>
      <c r="G76" s="30">
        <v>0.18539</v>
      </c>
    </row>
    <row r="77" spans="1:7" ht="12.75" x14ac:dyDescent="0.2">
      <c r="A77" s="28" t="s">
        <v>8</v>
      </c>
      <c r="B77" s="29">
        <v>7.5864299999999996E-2</v>
      </c>
      <c r="C77" s="29">
        <v>7.3179300000000003E-2</v>
      </c>
      <c r="D77" s="29">
        <v>4.8066200000000003E-2</v>
      </c>
      <c r="E77" s="29">
        <v>4.9626499999999997E-2</v>
      </c>
      <c r="F77" s="30">
        <v>0.50407400000000002</v>
      </c>
      <c r="G77" s="30">
        <v>0.51154900000000003</v>
      </c>
    </row>
    <row r="78" spans="1:7" ht="12.75" x14ac:dyDescent="0.2">
      <c r="A78" s="28" t="s">
        <v>9</v>
      </c>
      <c r="B78" s="30">
        <v>0.15643599999999999</v>
      </c>
      <c r="C78" s="30">
        <v>0.14449699999999999</v>
      </c>
      <c r="D78" s="29">
        <v>2.88186E-2</v>
      </c>
      <c r="E78" s="29">
        <v>2.9047900000000001E-2</v>
      </c>
      <c r="F78" s="30">
        <v>0.25889000000000001</v>
      </c>
      <c r="G78" s="30">
        <v>0.26049800000000001</v>
      </c>
    </row>
    <row r="79" spans="1:7" ht="12.75" x14ac:dyDescent="0.2">
      <c r="A79" s="28" t="s">
        <v>10</v>
      </c>
      <c r="B79" s="30">
        <v>0.33466800000000002</v>
      </c>
      <c r="C79" s="30">
        <v>0.282725</v>
      </c>
      <c r="D79" s="29">
        <v>1.56501E-2</v>
      </c>
      <c r="E79" s="29">
        <v>1.73933E-2</v>
      </c>
      <c r="F79" s="30">
        <v>0.13195799999999999</v>
      </c>
      <c r="G79" s="30">
        <v>0.131831</v>
      </c>
    </row>
    <row r="80" spans="1:7" ht="12.75" x14ac:dyDescent="0.2">
      <c r="A80" s="28" t="s">
        <v>11</v>
      </c>
      <c r="B80" s="30">
        <v>0.65411300000000006</v>
      </c>
      <c r="C80" s="30">
        <v>0.61671100000000001</v>
      </c>
      <c r="D80" s="36">
        <v>5.9068999999999997E-3</v>
      </c>
      <c r="E80" s="36">
        <v>9.5651999999999994E-3</v>
      </c>
      <c r="F80" s="30">
        <v>0.493923</v>
      </c>
      <c r="G80" s="30">
        <v>0.47897099999999998</v>
      </c>
    </row>
    <row r="81" spans="1:20" ht="12.75" x14ac:dyDescent="0.2">
      <c r="A81" s="28" t="s">
        <v>12</v>
      </c>
      <c r="B81" s="31">
        <v>1.3929</v>
      </c>
      <c r="C81" s="31">
        <v>1.2302500000000001</v>
      </c>
      <c r="D81" s="36">
        <v>7.4422000000000004E-3</v>
      </c>
      <c r="E81" s="36">
        <v>8.1130000000000004E-3</v>
      </c>
      <c r="F81" s="30">
        <v>0.247583</v>
      </c>
      <c r="G81" s="30">
        <v>0.246665</v>
      </c>
    </row>
    <row r="82" spans="1:20" ht="12.75" x14ac:dyDescent="0.2">
      <c r="A82" s="28" t="s">
        <v>13</v>
      </c>
      <c r="B82" s="31">
        <v>2.2312500000000002</v>
      </c>
      <c r="C82" s="31">
        <v>2.2313700000000001</v>
      </c>
      <c r="D82" s="30">
        <v>0.52468700000000001</v>
      </c>
      <c r="E82" s="30">
        <v>0.50538000000000005</v>
      </c>
      <c r="F82" s="30">
        <v>0.14036399999999999</v>
      </c>
      <c r="G82" s="30">
        <v>0.24326600000000001</v>
      </c>
    </row>
    <row r="83" spans="1:20" ht="12.75" x14ac:dyDescent="0.2">
      <c r="A83" s="28" t="s">
        <v>14</v>
      </c>
      <c r="B83" s="28"/>
      <c r="C83" s="36">
        <v>5.2754000000000004E-3</v>
      </c>
      <c r="D83" s="30">
        <v>0.269397</v>
      </c>
      <c r="E83" s="30">
        <v>0.25950400000000001</v>
      </c>
      <c r="F83" s="30">
        <v>0.27044400000000002</v>
      </c>
      <c r="G83" s="30">
        <v>0.24307100000000001</v>
      </c>
    </row>
    <row r="84" spans="1:20" ht="12.75" x14ac:dyDescent="0.2">
      <c r="I84" s="79" t="s">
        <v>318</v>
      </c>
      <c r="J84" s="79"/>
      <c r="K84" s="79"/>
      <c r="L84" s="79"/>
    </row>
    <row r="85" spans="1:20" ht="13.5" thickBot="1" x14ac:dyDescent="0.25">
      <c r="A85" s="28" t="s">
        <v>326</v>
      </c>
      <c r="B85" s="28">
        <v>1</v>
      </c>
      <c r="C85" s="28">
        <v>2</v>
      </c>
      <c r="D85" s="28">
        <v>3</v>
      </c>
      <c r="E85" s="28">
        <v>4</v>
      </c>
      <c r="F85" s="28">
        <v>5</v>
      </c>
      <c r="G85" s="28">
        <v>6</v>
      </c>
      <c r="I85" s="28" t="s">
        <v>219</v>
      </c>
      <c r="J85" s="13" t="s">
        <v>220</v>
      </c>
      <c r="K85" s="13" t="s">
        <v>221</v>
      </c>
      <c r="L85" s="13" t="s">
        <v>222</v>
      </c>
      <c r="N85" s="27"/>
    </row>
    <row r="86" spans="1:20" ht="12.75" customHeight="1" x14ac:dyDescent="0.2">
      <c r="A86" s="28" t="s">
        <v>7</v>
      </c>
      <c r="B86" s="32">
        <v>18.313600000000001</v>
      </c>
      <c r="C86" s="32">
        <v>15.8408</v>
      </c>
      <c r="D86" s="32">
        <v>34.420299999999997</v>
      </c>
      <c r="E86" s="32">
        <v>36.140999999999998</v>
      </c>
      <c r="F86" s="32">
        <v>72.680800000000005</v>
      </c>
      <c r="G86" s="32">
        <v>80.484300000000005</v>
      </c>
      <c r="I86" s="54">
        <v>64</v>
      </c>
      <c r="J86" s="54">
        <v>35.280649999999994</v>
      </c>
      <c r="K86" s="55">
        <f>I86*J86</f>
        <v>2257.9615999999996</v>
      </c>
      <c r="L86" s="67"/>
      <c r="M86" s="69" t="s">
        <v>322</v>
      </c>
      <c r="N86" s="70"/>
      <c r="O86" s="70"/>
      <c r="P86" s="70"/>
      <c r="Q86" s="70"/>
      <c r="R86" s="71"/>
    </row>
    <row r="87" spans="1:20" ht="12.75" customHeight="1" x14ac:dyDescent="0.2">
      <c r="A87" s="28" t="s">
        <v>8</v>
      </c>
      <c r="B87" s="32">
        <v>34.353400000000001</v>
      </c>
      <c r="C87" s="32">
        <v>33.082500000000003</v>
      </c>
      <c r="D87" s="32">
        <v>20.4649</v>
      </c>
      <c r="E87" s="32">
        <v>21.2988</v>
      </c>
      <c r="F87" s="33">
        <v>196.79400000000001</v>
      </c>
      <c r="G87" s="33">
        <v>199.44800000000001</v>
      </c>
      <c r="I87" s="54">
        <v>96</v>
      </c>
      <c r="J87" s="54">
        <v>20.88185</v>
      </c>
      <c r="K87" s="55">
        <f t="shared" ref="K87:K91" si="0">I87*J87</f>
        <v>2004.6576</v>
      </c>
      <c r="L87" s="67"/>
      <c r="M87" s="72"/>
      <c r="N87" s="73"/>
      <c r="O87" s="73"/>
      <c r="P87" s="73"/>
      <c r="Q87" s="73"/>
      <c r="R87" s="74"/>
    </row>
    <row r="88" spans="1:20" ht="12.75" customHeight="1" thickBot="1" x14ac:dyDescent="0.25">
      <c r="A88" s="28" t="s">
        <v>9</v>
      </c>
      <c r="B88" s="32">
        <v>69.004099999999994</v>
      </c>
      <c r="C88" s="32">
        <v>64.162199999999999</v>
      </c>
      <c r="D88" s="31">
        <v>9.141</v>
      </c>
      <c r="E88" s="31">
        <v>9.2934400000000004</v>
      </c>
      <c r="F88" s="33">
        <v>108.461</v>
      </c>
      <c r="G88" s="33">
        <v>109.06</v>
      </c>
      <c r="I88" s="54">
        <v>128</v>
      </c>
      <c r="J88" s="54">
        <v>9.2172200000000011</v>
      </c>
      <c r="K88" s="55">
        <f t="shared" si="0"/>
        <v>1179.8041600000001</v>
      </c>
      <c r="L88" s="67"/>
      <c r="M88" s="75"/>
      <c r="N88" s="76"/>
      <c r="O88" s="76"/>
      <c r="P88" s="76"/>
      <c r="Q88" s="76"/>
      <c r="R88" s="77"/>
    </row>
    <row r="89" spans="1:20" ht="12.75" x14ac:dyDescent="0.2">
      <c r="A89" s="28" t="s">
        <v>10</v>
      </c>
      <c r="B89" s="33">
        <v>136.25200000000001</v>
      </c>
      <c r="C89" s="33">
        <v>117.288</v>
      </c>
      <c r="D89" s="28" t="s">
        <v>75</v>
      </c>
      <c r="E89" s="28" t="s">
        <v>75</v>
      </c>
      <c r="F89" s="32">
        <v>58.994199999999999</v>
      </c>
      <c r="G89" s="32">
        <v>58.941400000000002</v>
      </c>
      <c r="I89" s="54">
        <v>192</v>
      </c>
      <c r="J89" s="28" t="s">
        <v>330</v>
      </c>
      <c r="K89" s="55" t="e">
        <f t="shared" si="0"/>
        <v>#VALUE!</v>
      </c>
      <c r="L89" s="13"/>
    </row>
    <row r="90" spans="1:20" ht="12.75" x14ac:dyDescent="0.2">
      <c r="A90" s="28" t="s">
        <v>11</v>
      </c>
      <c r="B90" s="33">
        <v>250.238</v>
      </c>
      <c r="C90" s="33">
        <v>236.86199999999999</v>
      </c>
      <c r="D90" s="28" t="s">
        <v>75</v>
      </c>
      <c r="E90" s="28" t="s">
        <v>75</v>
      </c>
      <c r="F90" s="33">
        <v>193.18899999999999</v>
      </c>
      <c r="G90" s="33">
        <v>187.87799999999999</v>
      </c>
      <c r="I90" s="28">
        <v>256</v>
      </c>
      <c r="J90" s="28" t="s">
        <v>330</v>
      </c>
      <c r="K90" s="55" t="e">
        <f t="shared" si="0"/>
        <v>#VALUE!</v>
      </c>
      <c r="L90" s="13"/>
    </row>
    <row r="91" spans="1:20" ht="12.75" x14ac:dyDescent="0.2">
      <c r="A91" s="28" t="s">
        <v>12</v>
      </c>
      <c r="B91" s="33">
        <v>539.65300000000002</v>
      </c>
      <c r="C91" s="33">
        <v>470.07799999999997</v>
      </c>
      <c r="D91" s="28" t="s">
        <v>75</v>
      </c>
      <c r="E91" s="28" t="s">
        <v>75</v>
      </c>
      <c r="F91" s="33">
        <v>104.239</v>
      </c>
      <c r="G91" s="33">
        <v>103.895</v>
      </c>
      <c r="I91" s="28">
        <v>384</v>
      </c>
      <c r="J91" s="28" t="s">
        <v>330</v>
      </c>
      <c r="K91" s="55" t="e">
        <f t="shared" si="0"/>
        <v>#VALUE!</v>
      </c>
      <c r="L91" s="13"/>
    </row>
    <row r="92" spans="1:20" ht="12.75" x14ac:dyDescent="0.2">
      <c r="A92" s="28" t="s">
        <v>13</v>
      </c>
      <c r="B92" s="33">
        <v>998.55200000000002</v>
      </c>
      <c r="C92" s="33">
        <v>998.63499999999999</v>
      </c>
      <c r="D92" s="33">
        <v>204.114</v>
      </c>
      <c r="E92" s="33">
        <v>197.25800000000001</v>
      </c>
      <c r="F92" s="32">
        <v>62.468800000000002</v>
      </c>
      <c r="G92" s="33">
        <v>102.621</v>
      </c>
      <c r="I92" s="62"/>
      <c r="J92" s="62"/>
      <c r="K92" s="63"/>
      <c r="L92" s="63"/>
    </row>
    <row r="93" spans="1:20" ht="12.75" x14ac:dyDescent="0.2">
      <c r="A93" s="28" t="s">
        <v>14</v>
      </c>
      <c r="B93" s="28"/>
      <c r="C93" s="28" t="s">
        <v>75</v>
      </c>
      <c r="D93" s="33">
        <v>112.364</v>
      </c>
      <c r="E93" s="33">
        <v>108.69</v>
      </c>
      <c r="F93" s="33">
        <v>112.751</v>
      </c>
      <c r="G93" s="33">
        <v>102.547</v>
      </c>
      <c r="I93" s="79" t="s">
        <v>319</v>
      </c>
      <c r="J93" s="79"/>
      <c r="K93" s="79"/>
      <c r="L93" s="79"/>
      <c r="N93" s="56"/>
      <c r="O93" s="56"/>
      <c r="P93" s="68" t="s">
        <v>320</v>
      </c>
      <c r="Q93" s="68"/>
      <c r="R93" s="68"/>
      <c r="S93" s="59"/>
      <c r="T93" s="57"/>
    </row>
    <row r="94" spans="1:20" ht="12.75" x14ac:dyDescent="0.2">
      <c r="I94" s="28"/>
      <c r="J94" s="28" t="s">
        <v>223</v>
      </c>
      <c r="K94" s="28" t="s">
        <v>224</v>
      </c>
      <c r="L94" s="28" t="s">
        <v>222</v>
      </c>
      <c r="N94" s="52"/>
      <c r="O94" s="52" t="s">
        <v>241</v>
      </c>
      <c r="P94" s="52" t="s">
        <v>242</v>
      </c>
      <c r="Q94" s="52" t="s">
        <v>243</v>
      </c>
      <c r="R94" s="52" t="s">
        <v>244</v>
      </c>
      <c r="S94" s="52" t="s">
        <v>245</v>
      </c>
      <c r="T94" s="28" t="s">
        <v>368</v>
      </c>
    </row>
    <row r="95" spans="1:20" ht="12.75" x14ac:dyDescent="0.2">
      <c r="A95" s="28" t="s">
        <v>15</v>
      </c>
      <c r="B95" s="28">
        <v>1</v>
      </c>
      <c r="C95" s="28">
        <v>2</v>
      </c>
      <c r="D95" s="28">
        <v>3</v>
      </c>
      <c r="E95" s="28">
        <v>4</v>
      </c>
      <c r="F95" s="28">
        <v>5</v>
      </c>
      <c r="G95" s="28">
        <v>6</v>
      </c>
      <c r="I95" s="28" t="s">
        <v>331</v>
      </c>
      <c r="J95" s="54">
        <v>276.46100000000001</v>
      </c>
      <c r="K95" s="54">
        <v>200.68600000000001</v>
      </c>
      <c r="L95" s="54">
        <f t="shared" ref="L95:L106" si="1">(K95/J95)*100</f>
        <v>72.591070711601276</v>
      </c>
      <c r="N95" s="52" t="s">
        <v>246</v>
      </c>
      <c r="O95" s="52" t="s">
        <v>361</v>
      </c>
      <c r="P95" s="52">
        <v>375</v>
      </c>
      <c r="Q95" s="52">
        <v>125</v>
      </c>
      <c r="R95" s="13">
        <v>1000</v>
      </c>
      <c r="S95" s="13">
        <v>500</v>
      </c>
      <c r="T95" s="28">
        <v>250</v>
      </c>
    </row>
    <row r="96" spans="1:20" ht="12.75" x14ac:dyDescent="0.2">
      <c r="A96" s="28" t="s">
        <v>7</v>
      </c>
      <c r="B96" s="28" t="s">
        <v>207</v>
      </c>
      <c r="C96" s="28" t="s">
        <v>207</v>
      </c>
      <c r="D96" s="28" t="s">
        <v>310</v>
      </c>
      <c r="E96" s="28" t="s">
        <v>310</v>
      </c>
      <c r="F96" s="28" t="s">
        <v>332</v>
      </c>
      <c r="G96" s="28" t="s">
        <v>332</v>
      </c>
      <c r="I96" s="28" t="s">
        <v>333</v>
      </c>
      <c r="J96" s="54">
        <v>155.87100000000001</v>
      </c>
      <c r="K96" s="54">
        <v>110.527</v>
      </c>
      <c r="L96" s="54">
        <f t="shared" si="1"/>
        <v>70.909277543609775</v>
      </c>
      <c r="N96" s="52" t="s">
        <v>248</v>
      </c>
      <c r="O96" s="52" t="s">
        <v>361</v>
      </c>
      <c r="P96" s="52">
        <v>350</v>
      </c>
      <c r="Q96" s="52">
        <v>50</v>
      </c>
      <c r="R96" s="13">
        <v>1000</v>
      </c>
      <c r="S96" s="13">
        <v>400</v>
      </c>
      <c r="T96" s="28">
        <v>125</v>
      </c>
    </row>
    <row r="97" spans="1:20" ht="12.75" x14ac:dyDescent="0.2">
      <c r="A97" s="28" t="s">
        <v>8</v>
      </c>
      <c r="B97" s="28" t="s">
        <v>206</v>
      </c>
      <c r="C97" s="28" t="s">
        <v>206</v>
      </c>
      <c r="D97" s="28" t="s">
        <v>334</v>
      </c>
      <c r="E97" s="28" t="s">
        <v>334</v>
      </c>
      <c r="F97" s="28" t="s">
        <v>335</v>
      </c>
      <c r="G97" s="28" t="s">
        <v>335</v>
      </c>
      <c r="I97" s="28" t="s">
        <v>336</v>
      </c>
      <c r="J97" s="54">
        <v>95.575999999999993</v>
      </c>
      <c r="K97" s="54">
        <v>76.582549999999998</v>
      </c>
      <c r="L97" s="54">
        <f t="shared" si="1"/>
        <v>80.127385536117856</v>
      </c>
      <c r="N97" s="52" t="s">
        <v>249</v>
      </c>
      <c r="O97" s="52" t="s">
        <v>361</v>
      </c>
      <c r="P97" s="52">
        <v>281.25</v>
      </c>
      <c r="Q97" s="52">
        <v>18.75</v>
      </c>
      <c r="R97" s="13">
        <v>1000</v>
      </c>
      <c r="S97" s="13">
        <v>300</v>
      </c>
      <c r="T97" s="28">
        <v>62.5</v>
      </c>
    </row>
    <row r="98" spans="1:20" ht="12.75" x14ac:dyDescent="0.2">
      <c r="A98" s="28" t="s">
        <v>9</v>
      </c>
      <c r="B98" s="28" t="s">
        <v>205</v>
      </c>
      <c r="C98" s="28" t="s">
        <v>205</v>
      </c>
      <c r="D98" s="28" t="s">
        <v>312</v>
      </c>
      <c r="E98" s="28" t="s">
        <v>312</v>
      </c>
      <c r="F98" s="28" t="s">
        <v>337</v>
      </c>
      <c r="G98" s="28" t="s">
        <v>337</v>
      </c>
      <c r="I98" s="28" t="s">
        <v>338</v>
      </c>
      <c r="J98" s="54">
        <v>265.66000000000003</v>
      </c>
      <c r="K98" s="54">
        <v>198.12100000000001</v>
      </c>
      <c r="L98" s="54">
        <f t="shared" si="1"/>
        <v>74.57690280810057</v>
      </c>
      <c r="N98" s="52" t="s">
        <v>250</v>
      </c>
      <c r="O98" s="52" t="s">
        <v>362</v>
      </c>
      <c r="P98" s="52">
        <v>375</v>
      </c>
      <c r="Q98" s="52">
        <v>125</v>
      </c>
      <c r="R98" s="13">
        <v>1000</v>
      </c>
      <c r="S98" s="13">
        <v>500</v>
      </c>
      <c r="T98" s="28">
        <v>250</v>
      </c>
    </row>
    <row r="99" spans="1:20" ht="12.75" x14ac:dyDescent="0.2">
      <c r="A99" s="28" t="s">
        <v>10</v>
      </c>
      <c r="B99" s="28" t="s">
        <v>204</v>
      </c>
      <c r="C99" s="28" t="s">
        <v>204</v>
      </c>
      <c r="D99" s="28" t="s">
        <v>339</v>
      </c>
      <c r="E99" s="28" t="s">
        <v>339</v>
      </c>
      <c r="F99" s="28" t="s">
        <v>340</v>
      </c>
      <c r="G99" s="28" t="s">
        <v>340</v>
      </c>
      <c r="I99" s="28" t="s">
        <v>341</v>
      </c>
      <c r="J99" s="54">
        <v>143.27199999999999</v>
      </c>
      <c r="K99" s="54">
        <v>108.76050000000001</v>
      </c>
      <c r="L99" s="54">
        <f t="shared" si="1"/>
        <v>75.911901837065173</v>
      </c>
      <c r="N99" s="52" t="s">
        <v>251</v>
      </c>
      <c r="O99" s="52" t="s">
        <v>362</v>
      </c>
      <c r="P99" s="52">
        <v>350</v>
      </c>
      <c r="Q99" s="52">
        <v>50</v>
      </c>
      <c r="R99" s="13">
        <v>1000</v>
      </c>
      <c r="S99" s="13">
        <v>400</v>
      </c>
      <c r="T99" s="28">
        <v>125</v>
      </c>
    </row>
    <row r="100" spans="1:20" ht="12.75" x14ac:dyDescent="0.2">
      <c r="A100" s="28" t="s">
        <v>11</v>
      </c>
      <c r="B100" s="28" t="s">
        <v>203</v>
      </c>
      <c r="C100" s="28" t="s">
        <v>203</v>
      </c>
      <c r="D100" s="28" t="s">
        <v>315</v>
      </c>
      <c r="E100" s="28" t="s">
        <v>315</v>
      </c>
      <c r="F100" s="28" t="s">
        <v>342</v>
      </c>
      <c r="G100" s="28" t="s">
        <v>342</v>
      </c>
      <c r="I100" s="28" t="s">
        <v>343</v>
      </c>
      <c r="J100" s="54">
        <v>82.076999999999998</v>
      </c>
      <c r="K100" s="54">
        <v>58.967799999999997</v>
      </c>
      <c r="L100" s="54">
        <f t="shared" si="1"/>
        <v>71.844487493451268</v>
      </c>
      <c r="N100" s="52" t="s">
        <v>253</v>
      </c>
      <c r="O100" s="52" t="s">
        <v>362</v>
      </c>
      <c r="P100" s="52">
        <v>281.25</v>
      </c>
      <c r="Q100" s="52">
        <v>18.75</v>
      </c>
      <c r="R100" s="13">
        <v>1000</v>
      </c>
      <c r="S100" s="13">
        <v>300</v>
      </c>
      <c r="T100" s="28">
        <v>62.5</v>
      </c>
    </row>
    <row r="101" spans="1:20" ht="12.75" x14ac:dyDescent="0.2">
      <c r="A101" s="28" t="s">
        <v>12</v>
      </c>
      <c r="B101" s="28" t="s">
        <v>202</v>
      </c>
      <c r="C101" s="28" t="s">
        <v>202</v>
      </c>
      <c r="D101" s="28" t="s">
        <v>344</v>
      </c>
      <c r="E101" s="28" t="s">
        <v>344</v>
      </c>
      <c r="F101" s="28" t="s">
        <v>345</v>
      </c>
      <c r="G101" s="28" t="s">
        <v>345</v>
      </c>
      <c r="I101" s="28" t="s">
        <v>346</v>
      </c>
      <c r="J101" s="54">
        <v>256.91500000000002</v>
      </c>
      <c r="K101" s="54">
        <v>190.5335</v>
      </c>
      <c r="L101" s="54">
        <f t="shared" si="1"/>
        <v>74.16207695152093</v>
      </c>
      <c r="N101" s="52" t="s">
        <v>254</v>
      </c>
      <c r="O101" s="52" t="s">
        <v>363</v>
      </c>
      <c r="P101" s="52">
        <v>375</v>
      </c>
      <c r="Q101" s="52">
        <v>125</v>
      </c>
      <c r="R101" s="13">
        <v>1000</v>
      </c>
      <c r="S101" s="13">
        <v>500</v>
      </c>
      <c r="T101" s="28">
        <v>250</v>
      </c>
    </row>
    <row r="102" spans="1:20" ht="12.75" x14ac:dyDescent="0.2">
      <c r="A102" s="28" t="s">
        <v>13</v>
      </c>
      <c r="B102" s="28" t="s">
        <v>201</v>
      </c>
      <c r="C102" s="28" t="s">
        <v>201</v>
      </c>
      <c r="D102" s="28" t="s">
        <v>347</v>
      </c>
      <c r="E102" s="28" t="s">
        <v>347</v>
      </c>
      <c r="F102" s="28" t="s">
        <v>348</v>
      </c>
      <c r="G102" s="28" t="s">
        <v>349</v>
      </c>
      <c r="I102" s="28" t="s">
        <v>350</v>
      </c>
      <c r="J102" s="54">
        <v>133.065</v>
      </c>
      <c r="K102" s="54">
        <v>104.06700000000001</v>
      </c>
      <c r="L102" s="54">
        <f t="shared" si="1"/>
        <v>78.207642881298625</v>
      </c>
      <c r="N102" s="52" t="s">
        <v>255</v>
      </c>
      <c r="O102" s="52" t="s">
        <v>363</v>
      </c>
      <c r="P102" s="52">
        <v>350</v>
      </c>
      <c r="Q102" s="52">
        <v>50</v>
      </c>
      <c r="R102" s="13">
        <v>1000</v>
      </c>
      <c r="S102" s="13">
        <v>400</v>
      </c>
      <c r="T102" s="28">
        <v>125</v>
      </c>
    </row>
    <row r="103" spans="1:20" ht="12.75" x14ac:dyDescent="0.2">
      <c r="A103" s="28" t="s">
        <v>14</v>
      </c>
      <c r="B103" s="28" t="s">
        <v>37</v>
      </c>
      <c r="C103" s="28" t="s">
        <v>351</v>
      </c>
      <c r="D103" s="28" t="s">
        <v>352</v>
      </c>
      <c r="E103" s="28" t="s">
        <v>353</v>
      </c>
      <c r="F103" s="28" t="s">
        <v>354</v>
      </c>
      <c r="G103" s="28" t="s">
        <v>355</v>
      </c>
      <c r="I103" s="28" t="s">
        <v>356</v>
      </c>
      <c r="J103" s="54">
        <v>71.141000000000005</v>
      </c>
      <c r="K103" s="32">
        <v>62.468800000000002</v>
      </c>
      <c r="L103" s="54">
        <f t="shared" si="1"/>
        <v>87.809842425605495</v>
      </c>
      <c r="N103" s="52" t="s">
        <v>256</v>
      </c>
      <c r="O103" s="52" t="s">
        <v>363</v>
      </c>
      <c r="P103" s="52">
        <v>281.25</v>
      </c>
      <c r="Q103" s="52">
        <v>18.75</v>
      </c>
      <c r="R103" s="13">
        <v>1000</v>
      </c>
      <c r="S103" s="13">
        <v>300</v>
      </c>
      <c r="T103" s="28">
        <v>62.5</v>
      </c>
    </row>
    <row r="104" spans="1:20" ht="15" customHeight="1" x14ac:dyDescent="0.2">
      <c r="I104" s="28" t="s">
        <v>357</v>
      </c>
      <c r="J104" s="28">
        <v>125</v>
      </c>
      <c r="K104" s="28">
        <v>102.621</v>
      </c>
      <c r="L104" s="54">
        <f t="shared" si="1"/>
        <v>82.096799999999988</v>
      </c>
      <c r="N104" s="52" t="s">
        <v>258</v>
      </c>
      <c r="O104" s="52" t="s">
        <v>364</v>
      </c>
      <c r="P104" s="52">
        <v>210</v>
      </c>
      <c r="Q104" s="52">
        <v>30</v>
      </c>
      <c r="R104" s="13">
        <v>1000</v>
      </c>
      <c r="S104" s="13">
        <v>240</v>
      </c>
      <c r="T104" s="28">
        <v>125</v>
      </c>
    </row>
    <row r="105" spans="1:20" ht="12.75" x14ac:dyDescent="0.2">
      <c r="A105" s="19" t="s">
        <v>358</v>
      </c>
      <c r="I105" s="28" t="s">
        <v>359</v>
      </c>
      <c r="J105" s="28">
        <v>125</v>
      </c>
      <c r="K105" s="33">
        <v>112.751</v>
      </c>
      <c r="L105" s="54">
        <f t="shared" si="1"/>
        <v>90.200800000000001</v>
      </c>
      <c r="N105" s="52" t="s">
        <v>260</v>
      </c>
      <c r="O105" s="52" t="s">
        <v>365</v>
      </c>
      <c r="P105" s="52">
        <v>210</v>
      </c>
      <c r="Q105" s="52">
        <v>30</v>
      </c>
      <c r="R105" s="13">
        <v>1000</v>
      </c>
      <c r="S105" s="13">
        <v>240</v>
      </c>
      <c r="T105" s="28">
        <v>125</v>
      </c>
    </row>
    <row r="106" spans="1:20" ht="15" customHeight="1" x14ac:dyDescent="0.2">
      <c r="I106" s="28" t="s">
        <v>360</v>
      </c>
      <c r="J106" s="28">
        <v>125</v>
      </c>
      <c r="K106" s="33">
        <v>102.547</v>
      </c>
      <c r="L106" s="54">
        <f t="shared" si="1"/>
        <v>82.037599999999998</v>
      </c>
      <c r="N106" s="52" t="s">
        <v>366</v>
      </c>
      <c r="O106" s="52" t="s">
        <v>367</v>
      </c>
      <c r="P106" s="52">
        <v>210</v>
      </c>
      <c r="Q106" s="52">
        <v>30</v>
      </c>
      <c r="R106" s="13">
        <v>1000</v>
      </c>
      <c r="S106" s="13">
        <v>240</v>
      </c>
      <c r="T106" s="28">
        <v>125</v>
      </c>
    </row>
  </sheetData>
  <mergeCells count="4">
    <mergeCell ref="I93:L93"/>
    <mergeCell ref="I84:L84"/>
    <mergeCell ref="M86:R88"/>
    <mergeCell ref="P93:R9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General information"/>
  <dimension ref="A1:E5"/>
  <sheetViews>
    <sheetView workbookViewId="0"/>
  </sheetViews>
  <sheetFormatPr defaultColWidth="9.140625" defaultRowHeight="15" customHeight="1" x14ac:dyDescent="0.2"/>
  <sheetData>
    <row r="1" spans="1:5" ht="15" customHeight="1" x14ac:dyDescent="0.2">
      <c r="A1" t="s">
        <v>79</v>
      </c>
    </row>
    <row r="3" spans="1:5" ht="15" customHeight="1" x14ac:dyDescent="0.2">
      <c r="B3" t="s">
        <v>80</v>
      </c>
      <c r="E3" t="s">
        <v>81</v>
      </c>
    </row>
    <row r="4" spans="1:5" ht="15" customHeight="1" x14ac:dyDescent="0.2">
      <c r="B4" t="s">
        <v>82</v>
      </c>
      <c r="E4" t="s">
        <v>83</v>
      </c>
    </row>
    <row r="5" spans="1:5" ht="15" customHeight="1" x14ac:dyDescent="0.2">
      <c r="A5" t="s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ession information"/>
  <dimension ref="A1:E7"/>
  <sheetViews>
    <sheetView workbookViewId="0"/>
  </sheetViews>
  <sheetFormatPr defaultColWidth="9.140625" defaultRowHeight="15" customHeight="1" x14ac:dyDescent="0.2"/>
  <cols>
    <col min="1" max="1" width="19.28515625" customWidth="1"/>
    <col min="2" max="2" width="14.85546875" customWidth="1"/>
    <col min="4" max="4" width="2" customWidth="1"/>
    <col min="5" max="5" width="51" customWidth="1"/>
  </cols>
  <sheetData>
    <row r="1" spans="1:5" ht="15" customHeight="1" x14ac:dyDescent="0.2">
      <c r="A1" t="s">
        <v>84</v>
      </c>
    </row>
    <row r="3" spans="1:5" ht="15" customHeight="1" x14ac:dyDescent="0.2">
      <c r="B3" t="s">
        <v>85</v>
      </c>
      <c r="E3" t="s">
        <v>1</v>
      </c>
    </row>
    <row r="4" spans="1:5" ht="15" customHeight="1" x14ac:dyDescent="0.2">
      <c r="B4" t="s">
        <v>86</v>
      </c>
      <c r="E4" t="s">
        <v>87</v>
      </c>
    </row>
    <row r="5" spans="1:5" ht="15" customHeight="1" x14ac:dyDescent="0.2">
      <c r="B5" t="s">
        <v>88</v>
      </c>
      <c r="E5" t="s">
        <v>89</v>
      </c>
    </row>
    <row r="6" spans="1:5" ht="15" customHeight="1" x14ac:dyDescent="0.2">
      <c r="B6" t="s">
        <v>90</v>
      </c>
      <c r="E6" t="s">
        <v>2</v>
      </c>
    </row>
    <row r="7" spans="1:5" ht="15" customHeight="1" x14ac:dyDescent="0.2">
      <c r="A7" t="s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Instrument information"/>
  <dimension ref="A1:E94"/>
  <sheetViews>
    <sheetView topLeftCell="A7" workbookViewId="0"/>
  </sheetViews>
  <sheetFormatPr defaultColWidth="9.140625" defaultRowHeight="15" customHeight="1" x14ac:dyDescent="0.2"/>
  <cols>
    <col min="1" max="1" width="21.5703125" customWidth="1"/>
    <col min="2" max="2" width="19.28515625" customWidth="1"/>
    <col min="3" max="3" width="29" customWidth="1"/>
    <col min="4" max="4" width="2" customWidth="1"/>
    <col min="5" max="5" width="23.7109375" customWidth="1"/>
  </cols>
  <sheetData>
    <row r="1" spans="1:5" ht="15" customHeight="1" x14ac:dyDescent="0.2">
      <c r="A1" t="s">
        <v>91</v>
      </c>
    </row>
    <row r="3" spans="1:5" ht="15" customHeight="1" x14ac:dyDescent="0.2">
      <c r="B3" t="s">
        <v>92</v>
      </c>
      <c r="E3" t="s">
        <v>93</v>
      </c>
    </row>
    <row r="4" spans="1:5" ht="15" customHeight="1" x14ac:dyDescent="0.2">
      <c r="B4" t="s">
        <v>94</v>
      </c>
      <c r="E4" t="s">
        <v>95</v>
      </c>
    </row>
    <row r="5" spans="1:5" ht="15" customHeight="1" x14ac:dyDescent="0.2">
      <c r="B5" t="s">
        <v>96</v>
      </c>
      <c r="E5" t="s">
        <v>97</v>
      </c>
    </row>
    <row r="6" spans="1:5" ht="15" customHeight="1" x14ac:dyDescent="0.2">
      <c r="B6" t="s">
        <v>98</v>
      </c>
      <c r="E6" t="s">
        <v>99</v>
      </c>
    </row>
    <row r="8" spans="1:5" ht="15" customHeight="1" x14ac:dyDescent="0.2">
      <c r="B8" t="s">
        <v>100</v>
      </c>
    </row>
    <row r="10" spans="1:5" ht="15" customHeight="1" x14ac:dyDescent="0.2">
      <c r="B10" t="s">
        <v>101</v>
      </c>
    </row>
    <row r="11" spans="1:5" ht="15" customHeight="1" x14ac:dyDescent="0.2">
      <c r="C11" t="s">
        <v>102</v>
      </c>
      <c r="E11" t="s">
        <v>103</v>
      </c>
    </row>
    <row r="12" spans="1:5" ht="15" customHeight="1" x14ac:dyDescent="0.2">
      <c r="C12" t="s">
        <v>92</v>
      </c>
      <c r="E12" t="s">
        <v>104</v>
      </c>
    </row>
    <row r="13" spans="1:5" ht="15" customHeight="1" x14ac:dyDescent="0.2">
      <c r="C13" t="s">
        <v>105</v>
      </c>
      <c r="E13" t="s">
        <v>106</v>
      </c>
    </row>
    <row r="14" spans="1:5" ht="15" customHeight="1" x14ac:dyDescent="0.2">
      <c r="C14" t="s">
        <v>107</v>
      </c>
      <c r="E14" t="s">
        <v>108</v>
      </c>
    </row>
    <row r="15" spans="1:5" ht="15" customHeight="1" x14ac:dyDescent="0.2">
      <c r="C15" t="s">
        <v>109</v>
      </c>
      <c r="E15" t="s">
        <v>110</v>
      </c>
    </row>
    <row r="16" spans="1:5" ht="15" customHeight="1" x14ac:dyDescent="0.2">
      <c r="C16" t="s">
        <v>111</v>
      </c>
      <c r="E16" t="s">
        <v>112</v>
      </c>
    </row>
    <row r="18" spans="2:5" ht="15" customHeight="1" x14ac:dyDescent="0.2">
      <c r="B18" t="s">
        <v>101</v>
      </c>
    </row>
    <row r="19" spans="2:5" ht="15" customHeight="1" x14ac:dyDescent="0.2">
      <c r="C19" t="s">
        <v>102</v>
      </c>
      <c r="E19" t="s">
        <v>113</v>
      </c>
    </row>
    <row r="20" spans="2:5" ht="15" customHeight="1" x14ac:dyDescent="0.2">
      <c r="C20" t="s">
        <v>92</v>
      </c>
      <c r="E20" t="s">
        <v>114</v>
      </c>
    </row>
    <row r="21" spans="2:5" ht="15" customHeight="1" x14ac:dyDescent="0.2">
      <c r="C21" t="s">
        <v>105</v>
      </c>
      <c r="E21" t="s">
        <v>115</v>
      </c>
    </row>
    <row r="22" spans="2:5" ht="15" customHeight="1" x14ac:dyDescent="0.2">
      <c r="C22" t="s">
        <v>107</v>
      </c>
      <c r="E22" t="s">
        <v>116</v>
      </c>
    </row>
    <row r="23" spans="2:5" ht="15" customHeight="1" x14ac:dyDescent="0.2">
      <c r="C23" t="s">
        <v>109</v>
      </c>
      <c r="E23" t="s">
        <v>110</v>
      </c>
    </row>
    <row r="24" spans="2:5" ht="15" customHeight="1" x14ac:dyDescent="0.2">
      <c r="C24" t="s">
        <v>111</v>
      </c>
      <c r="E24" t="s">
        <v>112</v>
      </c>
    </row>
    <row r="26" spans="2:5" ht="15" customHeight="1" x14ac:dyDescent="0.2">
      <c r="B26" t="s">
        <v>101</v>
      </c>
    </row>
    <row r="27" spans="2:5" ht="15" customHeight="1" x14ac:dyDescent="0.2">
      <c r="C27" t="s">
        <v>102</v>
      </c>
      <c r="E27" t="s">
        <v>117</v>
      </c>
    </row>
    <row r="28" spans="2:5" ht="15" customHeight="1" x14ac:dyDescent="0.2">
      <c r="C28" t="s">
        <v>92</v>
      </c>
      <c r="E28" t="s">
        <v>118</v>
      </c>
    </row>
    <row r="29" spans="2:5" ht="15" customHeight="1" x14ac:dyDescent="0.2">
      <c r="C29" t="s">
        <v>105</v>
      </c>
      <c r="E29" t="s">
        <v>119</v>
      </c>
    </row>
    <row r="30" spans="2:5" ht="15" customHeight="1" x14ac:dyDescent="0.2">
      <c r="C30" t="s">
        <v>107</v>
      </c>
      <c r="E30" t="s">
        <v>116</v>
      </c>
    </row>
    <row r="31" spans="2:5" ht="15" customHeight="1" x14ac:dyDescent="0.2">
      <c r="C31" t="s">
        <v>109</v>
      </c>
      <c r="E31" t="s">
        <v>110</v>
      </c>
    </row>
    <row r="32" spans="2:5" ht="15" customHeight="1" x14ac:dyDescent="0.2">
      <c r="C32" t="s">
        <v>111</v>
      </c>
      <c r="E32" t="s">
        <v>112</v>
      </c>
    </row>
    <row r="34" spans="2:5" ht="15" customHeight="1" x14ac:dyDescent="0.2">
      <c r="B34" t="s">
        <v>120</v>
      </c>
    </row>
    <row r="35" spans="2:5" ht="15" customHeight="1" x14ac:dyDescent="0.2">
      <c r="C35" t="s">
        <v>121</v>
      </c>
      <c r="E35" t="s">
        <v>122</v>
      </c>
    </row>
    <row r="36" spans="2:5" ht="15" customHeight="1" x14ac:dyDescent="0.2">
      <c r="C36" t="s">
        <v>92</v>
      </c>
      <c r="E36" t="s">
        <v>123</v>
      </c>
    </row>
    <row r="37" spans="2:5" ht="15" customHeight="1" x14ac:dyDescent="0.2">
      <c r="C37" t="s">
        <v>124</v>
      </c>
      <c r="E37" t="s">
        <v>125</v>
      </c>
    </row>
    <row r="38" spans="2:5" ht="15" customHeight="1" x14ac:dyDescent="0.2">
      <c r="C38" t="s">
        <v>107</v>
      </c>
      <c r="E38" t="s">
        <v>126</v>
      </c>
    </row>
    <row r="39" spans="2:5" ht="12.75" x14ac:dyDescent="0.2">
      <c r="C39" t="s">
        <v>109</v>
      </c>
      <c r="E39" t="s">
        <v>110</v>
      </c>
    </row>
    <row r="40" spans="2:5" ht="12.75" x14ac:dyDescent="0.2">
      <c r="C40" t="s">
        <v>111</v>
      </c>
      <c r="E40" t="s">
        <v>112</v>
      </c>
    </row>
    <row r="41" spans="2:5" ht="12.75" x14ac:dyDescent="0.2"/>
    <row r="42" spans="2:5" ht="12.75" x14ac:dyDescent="0.2">
      <c r="B42" t="s">
        <v>120</v>
      </c>
    </row>
    <row r="43" spans="2:5" ht="12.75" x14ac:dyDescent="0.2">
      <c r="C43" t="s">
        <v>121</v>
      </c>
      <c r="E43" t="s">
        <v>127</v>
      </c>
    </row>
    <row r="44" spans="2:5" ht="12.75" x14ac:dyDescent="0.2">
      <c r="C44" t="s">
        <v>92</v>
      </c>
      <c r="E44" t="s">
        <v>128</v>
      </c>
    </row>
    <row r="45" spans="2:5" ht="12.75" x14ac:dyDescent="0.2">
      <c r="C45" t="s">
        <v>124</v>
      </c>
      <c r="E45" t="s">
        <v>129</v>
      </c>
    </row>
    <row r="46" spans="2:5" ht="12.75" x14ac:dyDescent="0.2">
      <c r="C46" t="s">
        <v>107</v>
      </c>
      <c r="E46" t="s">
        <v>116</v>
      </c>
    </row>
    <row r="47" spans="2:5" ht="12.75" x14ac:dyDescent="0.2">
      <c r="C47" t="s">
        <v>109</v>
      </c>
      <c r="E47" t="s">
        <v>110</v>
      </c>
    </row>
    <row r="48" spans="2:5" ht="12.75" x14ac:dyDescent="0.2">
      <c r="C48" t="s">
        <v>111</v>
      </c>
      <c r="E48" t="s">
        <v>112</v>
      </c>
    </row>
    <row r="49" spans="2:5" ht="12.75" x14ac:dyDescent="0.2"/>
    <row r="50" spans="2:5" ht="12.75" x14ac:dyDescent="0.2">
      <c r="B50" t="s">
        <v>120</v>
      </c>
    </row>
    <row r="51" spans="2:5" ht="12.75" x14ac:dyDescent="0.2">
      <c r="C51" t="s">
        <v>121</v>
      </c>
      <c r="E51" t="s">
        <v>130</v>
      </c>
    </row>
    <row r="52" spans="2:5" ht="12.75" x14ac:dyDescent="0.2">
      <c r="C52" t="s">
        <v>92</v>
      </c>
      <c r="E52" t="s">
        <v>131</v>
      </c>
    </row>
    <row r="53" spans="2:5" ht="12.75" x14ac:dyDescent="0.2">
      <c r="C53" t="s">
        <v>124</v>
      </c>
      <c r="E53" t="s">
        <v>132</v>
      </c>
    </row>
    <row r="54" spans="2:5" ht="12.75" x14ac:dyDescent="0.2">
      <c r="C54" t="s">
        <v>107</v>
      </c>
      <c r="E54" t="s">
        <v>133</v>
      </c>
    </row>
    <row r="55" spans="2:5" ht="12.75" x14ac:dyDescent="0.2">
      <c r="C55" t="s">
        <v>109</v>
      </c>
      <c r="E55" t="s">
        <v>110</v>
      </c>
    </row>
    <row r="56" spans="2:5" ht="12.75" x14ac:dyDescent="0.2">
      <c r="C56" t="s">
        <v>111</v>
      </c>
      <c r="E56" t="s">
        <v>112</v>
      </c>
    </row>
    <row r="57" spans="2:5" ht="12.75" x14ac:dyDescent="0.2"/>
    <row r="58" spans="2:5" ht="12.75" x14ac:dyDescent="0.2">
      <c r="B58" t="s">
        <v>134</v>
      </c>
    </row>
    <row r="59" spans="2:5" ht="12.75" x14ac:dyDescent="0.2">
      <c r="C59" t="s">
        <v>92</v>
      </c>
      <c r="E59" t="s">
        <v>135</v>
      </c>
    </row>
    <row r="60" spans="2:5" ht="12.75" x14ac:dyDescent="0.2">
      <c r="C60" t="s">
        <v>102</v>
      </c>
      <c r="E60" t="s">
        <v>103</v>
      </c>
    </row>
    <row r="61" spans="2:5" ht="12.75" x14ac:dyDescent="0.2">
      <c r="C61" t="s">
        <v>92</v>
      </c>
      <c r="E61" t="s">
        <v>104</v>
      </c>
    </row>
    <row r="62" spans="2:5" ht="12.75" x14ac:dyDescent="0.2">
      <c r="C62" t="s">
        <v>105</v>
      </c>
      <c r="E62" t="s">
        <v>106</v>
      </c>
    </row>
    <row r="63" spans="2:5" ht="12.75" x14ac:dyDescent="0.2">
      <c r="C63" t="s">
        <v>121</v>
      </c>
      <c r="E63" t="s">
        <v>122</v>
      </c>
    </row>
    <row r="64" spans="2:5" ht="12.75" x14ac:dyDescent="0.2">
      <c r="C64" t="s">
        <v>92</v>
      </c>
      <c r="E64" t="s">
        <v>123</v>
      </c>
    </row>
    <row r="65" spans="2:5" ht="12.75" x14ac:dyDescent="0.2">
      <c r="C65" t="s">
        <v>124</v>
      </c>
      <c r="E65" t="s">
        <v>125</v>
      </c>
    </row>
    <row r="66" spans="2:5" ht="12.75" x14ac:dyDescent="0.2">
      <c r="C66" t="s">
        <v>109</v>
      </c>
      <c r="E66" t="s">
        <v>110</v>
      </c>
    </row>
    <row r="67" spans="2:5" ht="12.75" x14ac:dyDescent="0.2">
      <c r="C67" t="s">
        <v>136</v>
      </c>
      <c r="E67" t="s">
        <v>137</v>
      </c>
    </row>
    <row r="68" spans="2:5" ht="12.75" x14ac:dyDescent="0.2"/>
    <row r="69" spans="2:5" ht="12.75" x14ac:dyDescent="0.2">
      <c r="B69" t="s">
        <v>134</v>
      </c>
    </row>
    <row r="70" spans="2:5" ht="12.75" x14ac:dyDescent="0.2">
      <c r="C70" t="s">
        <v>92</v>
      </c>
      <c r="E70" t="s">
        <v>138</v>
      </c>
    </row>
    <row r="71" spans="2:5" ht="12.75" x14ac:dyDescent="0.2">
      <c r="C71" t="s">
        <v>102</v>
      </c>
      <c r="E71" t="s">
        <v>113</v>
      </c>
    </row>
    <row r="72" spans="2:5" ht="12.75" x14ac:dyDescent="0.2">
      <c r="C72" t="s">
        <v>92</v>
      </c>
      <c r="E72" t="s">
        <v>114</v>
      </c>
    </row>
    <row r="73" spans="2:5" ht="12.75" x14ac:dyDescent="0.2">
      <c r="C73" t="s">
        <v>105</v>
      </c>
      <c r="E73" t="s">
        <v>115</v>
      </c>
    </row>
    <row r="74" spans="2:5" ht="12.75" x14ac:dyDescent="0.2">
      <c r="C74" t="s">
        <v>121</v>
      </c>
      <c r="E74" t="s">
        <v>127</v>
      </c>
    </row>
    <row r="75" spans="2:5" ht="12.75" x14ac:dyDescent="0.2">
      <c r="C75" t="s">
        <v>92</v>
      </c>
      <c r="E75" t="s">
        <v>128</v>
      </c>
    </row>
    <row r="76" spans="2:5" ht="12.75" x14ac:dyDescent="0.2">
      <c r="C76" t="s">
        <v>124</v>
      </c>
      <c r="E76" t="s">
        <v>129</v>
      </c>
    </row>
    <row r="77" spans="2:5" ht="12.75" x14ac:dyDescent="0.2">
      <c r="C77" t="s">
        <v>109</v>
      </c>
      <c r="E77" t="s">
        <v>110</v>
      </c>
    </row>
    <row r="78" spans="2:5" ht="12.75" x14ac:dyDescent="0.2">
      <c r="C78" t="s">
        <v>136</v>
      </c>
      <c r="E78" t="s">
        <v>137</v>
      </c>
    </row>
    <row r="79" spans="2:5" ht="12.75" x14ac:dyDescent="0.2"/>
    <row r="80" spans="2:5" ht="12.75" x14ac:dyDescent="0.2">
      <c r="B80" t="s">
        <v>134</v>
      </c>
    </row>
    <row r="81" spans="3:5" ht="12.75" x14ac:dyDescent="0.2">
      <c r="C81" t="s">
        <v>92</v>
      </c>
      <c r="E81" t="s">
        <v>139</v>
      </c>
    </row>
    <row r="82" spans="3:5" ht="12.75" x14ac:dyDescent="0.2">
      <c r="C82" t="s">
        <v>102</v>
      </c>
      <c r="E82" t="s">
        <v>117</v>
      </c>
    </row>
    <row r="83" spans="3:5" ht="12.75" x14ac:dyDescent="0.2">
      <c r="C83" t="s">
        <v>92</v>
      </c>
      <c r="E83" t="s">
        <v>118</v>
      </c>
    </row>
    <row r="84" spans="3:5" ht="12.75" x14ac:dyDescent="0.2">
      <c r="C84" t="s">
        <v>105</v>
      </c>
      <c r="E84" t="s">
        <v>119</v>
      </c>
    </row>
    <row r="85" spans="3:5" ht="12.75" x14ac:dyDescent="0.2">
      <c r="C85" t="s">
        <v>121</v>
      </c>
      <c r="E85" t="s">
        <v>130</v>
      </c>
    </row>
    <row r="86" spans="3:5" ht="12.75" x14ac:dyDescent="0.2">
      <c r="C86" t="s">
        <v>92</v>
      </c>
      <c r="E86" t="s">
        <v>131</v>
      </c>
    </row>
    <row r="87" spans="3:5" ht="12.75" x14ac:dyDescent="0.2">
      <c r="C87" t="s">
        <v>124</v>
      </c>
      <c r="E87" t="s">
        <v>132</v>
      </c>
    </row>
    <row r="88" spans="3:5" ht="12.75" x14ac:dyDescent="0.2">
      <c r="C88" t="s">
        <v>109</v>
      </c>
      <c r="E88" t="s">
        <v>110</v>
      </c>
    </row>
    <row r="89" spans="3:5" ht="12.75" x14ac:dyDescent="0.2">
      <c r="C89" t="s">
        <v>136</v>
      </c>
      <c r="E89" t="s">
        <v>137</v>
      </c>
    </row>
    <row r="90" spans="3:5" ht="12.75" x14ac:dyDescent="0.2"/>
    <row r="91" spans="3:5" ht="12.75" x14ac:dyDescent="0.2">
      <c r="C91" t="s">
        <v>140</v>
      </c>
      <c r="E91" t="s">
        <v>110</v>
      </c>
    </row>
    <row r="92" spans="3:5" ht="12.75" x14ac:dyDescent="0.2">
      <c r="C92" t="s">
        <v>141</v>
      </c>
      <c r="E92" t="s">
        <v>142</v>
      </c>
    </row>
    <row r="93" spans="3:5" ht="12.75" x14ac:dyDescent="0.2">
      <c r="C93" t="s">
        <v>143</v>
      </c>
      <c r="E93" t="s">
        <v>110</v>
      </c>
    </row>
    <row r="94" spans="3:5" ht="12.75" x14ac:dyDescent="0.2">
      <c r="C94" t="s">
        <v>144</v>
      </c>
      <c r="E94" t="s">
        <v>110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rotocol parameters"/>
  <dimension ref="A1:E19"/>
  <sheetViews>
    <sheetView workbookViewId="0"/>
  </sheetViews>
  <sheetFormatPr defaultColWidth="9.140625" defaultRowHeight="15" customHeight="1" x14ac:dyDescent="0.2"/>
  <cols>
    <col min="1" max="1" width="19.7109375" customWidth="1"/>
    <col min="2" max="2" width="29.140625" customWidth="1"/>
    <col min="4" max="4" width="2" customWidth="1"/>
    <col min="5" max="5" width="12" customWidth="1"/>
  </cols>
  <sheetData>
    <row r="1" spans="1:5" ht="15" customHeight="1" x14ac:dyDescent="0.2">
      <c r="A1" t="s">
        <v>145</v>
      </c>
    </row>
    <row r="3" spans="1:5" ht="15" customHeight="1" x14ac:dyDescent="0.2">
      <c r="B3" t="s">
        <v>146</v>
      </c>
      <c r="E3" t="s">
        <v>137</v>
      </c>
    </row>
    <row r="4" spans="1:5" ht="15" customHeight="1" x14ac:dyDescent="0.2">
      <c r="B4" t="s">
        <v>147</v>
      </c>
      <c r="E4" t="s">
        <v>142</v>
      </c>
    </row>
    <row r="5" spans="1:5" ht="15" customHeight="1" x14ac:dyDescent="0.2">
      <c r="B5" t="s">
        <v>148</v>
      </c>
      <c r="E5" t="s">
        <v>142</v>
      </c>
    </row>
    <row r="7" spans="1:5" ht="15" customHeight="1" x14ac:dyDescent="0.2">
      <c r="A7" t="s">
        <v>149</v>
      </c>
    </row>
    <row r="9" spans="1:5" ht="15" customHeight="1" x14ac:dyDescent="0.2">
      <c r="B9" t="s">
        <v>150</v>
      </c>
      <c r="E9" t="s">
        <v>151</v>
      </c>
    </row>
    <row r="10" spans="1:5" ht="15" customHeight="1" x14ac:dyDescent="0.2">
      <c r="B10" t="s">
        <v>152</v>
      </c>
      <c r="E10" t="s">
        <v>153</v>
      </c>
    </row>
    <row r="11" spans="1:5" ht="15" customHeight="1" x14ac:dyDescent="0.2">
      <c r="B11" t="s">
        <v>154</v>
      </c>
      <c r="E11" t="s">
        <v>155</v>
      </c>
    </row>
    <row r="12" spans="1:5" ht="15" customHeight="1" x14ac:dyDescent="0.2">
      <c r="B12" t="s">
        <v>156</v>
      </c>
      <c r="E12" t="s">
        <v>157</v>
      </c>
    </row>
    <row r="14" spans="1:5" ht="15" customHeight="1" x14ac:dyDescent="0.2">
      <c r="A14" t="s">
        <v>4</v>
      </c>
    </row>
    <row r="16" spans="1:5" ht="15" customHeight="1" x14ac:dyDescent="0.2">
      <c r="B16" t="s">
        <v>158</v>
      </c>
      <c r="E16" t="s">
        <v>125</v>
      </c>
    </row>
    <row r="17" spans="2:5" ht="15" customHeight="1" x14ac:dyDescent="0.2">
      <c r="B17" t="s">
        <v>159</v>
      </c>
      <c r="E17" t="s">
        <v>142</v>
      </c>
    </row>
    <row r="18" spans="2:5" ht="15" customHeight="1" x14ac:dyDescent="0.2">
      <c r="B18" t="s">
        <v>160</v>
      </c>
      <c r="E18" t="s">
        <v>161</v>
      </c>
    </row>
    <row r="19" spans="2:5" ht="15" customHeight="1" x14ac:dyDescent="0.2">
      <c r="B19" t="s">
        <v>162</v>
      </c>
      <c r="E19" t="s">
        <v>142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Run log"/>
  <dimension ref="A1:E13"/>
  <sheetViews>
    <sheetView workbookViewId="0"/>
  </sheetViews>
  <sheetFormatPr defaultColWidth="9.140625" defaultRowHeight="15" customHeight="1" x14ac:dyDescent="0.2"/>
  <cols>
    <col min="1" max="1" width="8.7109375" customWidth="1"/>
    <col min="2" max="2" width="26.42578125" customWidth="1"/>
    <col min="3" max="3" width="60.85546875" customWidth="1"/>
    <col min="4" max="4" width="11.85546875" customWidth="1"/>
  </cols>
  <sheetData>
    <row r="1" spans="1:5" ht="15" customHeight="1" x14ac:dyDescent="0.2">
      <c r="A1" t="s">
        <v>163</v>
      </c>
    </row>
    <row r="3" spans="1:5" ht="15" customHeight="1" x14ac:dyDescent="0.2">
      <c r="B3" s="2" t="s">
        <v>164</v>
      </c>
      <c r="C3" s="2" t="s">
        <v>165</v>
      </c>
      <c r="D3" s="2" t="s">
        <v>166</v>
      </c>
      <c r="E3" s="2"/>
    </row>
    <row r="4" spans="1:5" ht="15" customHeight="1" x14ac:dyDescent="0.2">
      <c r="B4" t="s">
        <v>2</v>
      </c>
      <c r="C4" t="s">
        <v>167</v>
      </c>
    </row>
    <row r="5" spans="1:5" ht="15" customHeight="1" x14ac:dyDescent="0.2">
      <c r="B5" t="s">
        <v>168</v>
      </c>
      <c r="C5" t="s">
        <v>169</v>
      </c>
      <c r="D5" t="s">
        <v>170</v>
      </c>
    </row>
    <row r="6" spans="1:5" ht="15" customHeight="1" x14ac:dyDescent="0.2">
      <c r="B6" t="s">
        <v>168</v>
      </c>
      <c r="C6" t="s">
        <v>171</v>
      </c>
    </row>
    <row r="7" spans="1:5" ht="15" customHeight="1" x14ac:dyDescent="0.2">
      <c r="B7" t="s">
        <v>172</v>
      </c>
      <c r="C7" t="s">
        <v>173</v>
      </c>
    </row>
    <row r="8" spans="1:5" ht="15" customHeight="1" x14ac:dyDescent="0.2">
      <c r="B8" t="s">
        <v>172</v>
      </c>
      <c r="C8" t="s">
        <v>174</v>
      </c>
    </row>
    <row r="9" spans="1:5" ht="15" customHeight="1" x14ac:dyDescent="0.2">
      <c r="B9" t="s">
        <v>175</v>
      </c>
      <c r="C9" t="s">
        <v>169</v>
      </c>
      <c r="D9" t="s">
        <v>170</v>
      </c>
    </row>
    <row r="10" spans="1:5" ht="15" customHeight="1" x14ac:dyDescent="0.2">
      <c r="B10" t="s">
        <v>176</v>
      </c>
      <c r="C10" t="s">
        <v>177</v>
      </c>
    </row>
    <row r="11" spans="1:5" ht="15" customHeight="1" x14ac:dyDescent="0.2">
      <c r="B11" t="s">
        <v>176</v>
      </c>
      <c r="C11" t="s">
        <v>169</v>
      </c>
      <c r="D11" t="s">
        <v>170</v>
      </c>
    </row>
    <row r="12" spans="1:5" ht="15" customHeight="1" x14ac:dyDescent="0.2">
      <c r="B12" t="s">
        <v>178</v>
      </c>
      <c r="C12" t="s">
        <v>179</v>
      </c>
    </row>
    <row r="13" spans="1:5" ht="15" customHeight="1" x14ac:dyDescent="0.2">
      <c r="A13" t="s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Layout definitions"/>
  <dimension ref="A1:M33"/>
  <sheetViews>
    <sheetView workbookViewId="0"/>
  </sheetViews>
  <sheetFormatPr defaultColWidth="9.140625" defaultRowHeight="15" customHeight="1" x14ac:dyDescent="0.2"/>
  <sheetData>
    <row r="1" spans="1:13" ht="15" customHeight="1" x14ac:dyDescent="0.2">
      <c r="A1" t="s">
        <v>92</v>
      </c>
      <c r="B1" t="s">
        <v>6</v>
      </c>
    </row>
    <row r="2" spans="1:13" ht="15" customHeight="1" x14ac:dyDescent="0.2">
      <c r="A2" t="s">
        <v>180</v>
      </c>
      <c r="B2" t="s">
        <v>181</v>
      </c>
    </row>
    <row r="4" spans="1:13" ht="15" customHeight="1" x14ac:dyDescent="0.2">
      <c r="B4" s="3">
        <v>1</v>
      </c>
      <c r="C4" s="3">
        <v>2</v>
      </c>
      <c r="D4" s="3">
        <v>3</v>
      </c>
      <c r="E4" s="3">
        <v>4</v>
      </c>
      <c r="F4" s="3">
        <v>5</v>
      </c>
      <c r="G4" s="3">
        <v>6</v>
      </c>
      <c r="H4" s="3">
        <v>7</v>
      </c>
      <c r="I4" s="3">
        <v>8</v>
      </c>
      <c r="J4" s="3">
        <v>9</v>
      </c>
      <c r="K4" s="3">
        <v>10</v>
      </c>
      <c r="L4" s="3">
        <v>11</v>
      </c>
      <c r="M4" s="3">
        <v>12</v>
      </c>
    </row>
    <row r="5" spans="1:13" ht="15" customHeight="1" x14ac:dyDescent="0.2">
      <c r="A5" s="83" t="s">
        <v>7</v>
      </c>
      <c r="B5" s="4" t="s">
        <v>16</v>
      </c>
      <c r="C5" s="4" t="s">
        <v>16</v>
      </c>
      <c r="D5" s="5" t="s">
        <v>17</v>
      </c>
      <c r="E5" s="5" t="s">
        <v>17</v>
      </c>
      <c r="F5" s="5" t="s">
        <v>18</v>
      </c>
      <c r="G5" s="5" t="s">
        <v>18</v>
      </c>
      <c r="H5" s="82"/>
      <c r="I5" s="82"/>
      <c r="J5" s="82"/>
      <c r="K5" s="82"/>
      <c r="L5" s="82"/>
      <c r="M5" s="82"/>
    </row>
    <row r="6" spans="1:13" ht="15" customHeight="1" x14ac:dyDescent="0.2">
      <c r="A6" s="82"/>
      <c r="B6" s="6" t="s">
        <v>182</v>
      </c>
      <c r="C6" s="6" t="s">
        <v>182</v>
      </c>
      <c r="D6" s="7" t="s">
        <v>182</v>
      </c>
      <c r="E6" s="7" t="s">
        <v>182</v>
      </c>
      <c r="F6" s="7" t="s">
        <v>182</v>
      </c>
      <c r="G6" s="7" t="s">
        <v>182</v>
      </c>
      <c r="H6" s="82"/>
      <c r="I6" s="82"/>
      <c r="J6" s="82"/>
      <c r="K6" s="82"/>
      <c r="L6" s="82"/>
      <c r="M6" s="82"/>
    </row>
    <row r="7" spans="1:13" ht="15" customHeight="1" x14ac:dyDescent="0.2">
      <c r="A7" s="82"/>
      <c r="B7" s="8" t="s">
        <v>183</v>
      </c>
      <c r="C7" s="8" t="s">
        <v>183</v>
      </c>
      <c r="D7" s="9" t="s">
        <v>184</v>
      </c>
      <c r="E7" s="9" t="s">
        <v>184</v>
      </c>
      <c r="F7" s="9" t="s">
        <v>184</v>
      </c>
      <c r="G7" s="9" t="s">
        <v>184</v>
      </c>
      <c r="H7" s="82"/>
      <c r="I7" s="82"/>
      <c r="J7" s="82"/>
      <c r="K7" s="82"/>
      <c r="L7" s="82"/>
      <c r="M7" s="82"/>
    </row>
    <row r="8" spans="1:13" ht="15" customHeight="1" x14ac:dyDescent="0.2">
      <c r="A8" s="83" t="s">
        <v>8</v>
      </c>
      <c r="B8" s="4" t="s">
        <v>19</v>
      </c>
      <c r="C8" s="4" t="s">
        <v>19</v>
      </c>
      <c r="D8" s="5" t="s">
        <v>20</v>
      </c>
      <c r="E8" s="5" t="s">
        <v>20</v>
      </c>
      <c r="F8" s="5" t="s">
        <v>21</v>
      </c>
      <c r="G8" s="5" t="s">
        <v>21</v>
      </c>
      <c r="H8" s="82"/>
      <c r="I8" s="82"/>
      <c r="J8" s="82"/>
      <c r="K8" s="82"/>
      <c r="L8" s="82"/>
      <c r="M8" s="82"/>
    </row>
    <row r="9" spans="1:13" ht="15" customHeight="1" x14ac:dyDescent="0.2">
      <c r="A9" s="82"/>
      <c r="B9" s="6" t="s">
        <v>182</v>
      </c>
      <c r="C9" s="6" t="s">
        <v>182</v>
      </c>
      <c r="D9" s="7" t="s">
        <v>182</v>
      </c>
      <c r="E9" s="7" t="s">
        <v>182</v>
      </c>
      <c r="F9" s="7" t="s">
        <v>182</v>
      </c>
      <c r="G9" s="7" t="s">
        <v>182</v>
      </c>
      <c r="H9" s="82"/>
      <c r="I9" s="82"/>
      <c r="J9" s="82"/>
      <c r="K9" s="82"/>
      <c r="L9" s="82"/>
      <c r="M9" s="82"/>
    </row>
    <row r="10" spans="1:13" ht="15" customHeight="1" x14ac:dyDescent="0.2">
      <c r="A10" s="82"/>
      <c r="B10" s="8" t="s">
        <v>185</v>
      </c>
      <c r="C10" s="8" t="s">
        <v>185</v>
      </c>
      <c r="D10" s="9" t="s">
        <v>184</v>
      </c>
      <c r="E10" s="9" t="s">
        <v>184</v>
      </c>
      <c r="F10" s="9" t="s">
        <v>184</v>
      </c>
      <c r="G10" s="9" t="s">
        <v>184</v>
      </c>
      <c r="H10" s="82"/>
      <c r="I10" s="82"/>
      <c r="J10" s="82"/>
      <c r="K10" s="82"/>
      <c r="L10" s="82"/>
      <c r="M10" s="82"/>
    </row>
    <row r="11" spans="1:13" ht="15" customHeight="1" x14ac:dyDescent="0.2">
      <c r="A11" s="83" t="s">
        <v>9</v>
      </c>
      <c r="B11" s="4" t="s">
        <v>22</v>
      </c>
      <c r="C11" s="4" t="s">
        <v>22</v>
      </c>
      <c r="D11" s="5" t="s">
        <v>23</v>
      </c>
      <c r="E11" s="5" t="s">
        <v>23</v>
      </c>
      <c r="F11" s="5" t="s">
        <v>24</v>
      </c>
      <c r="G11" s="5" t="s">
        <v>24</v>
      </c>
      <c r="H11" s="82"/>
      <c r="I11" s="82"/>
      <c r="J11" s="82"/>
      <c r="K11" s="82"/>
      <c r="L11" s="82"/>
      <c r="M11" s="82"/>
    </row>
    <row r="12" spans="1:13" ht="15" customHeight="1" x14ac:dyDescent="0.2">
      <c r="A12" s="82"/>
      <c r="B12" s="6" t="s">
        <v>182</v>
      </c>
      <c r="C12" s="6" t="s">
        <v>182</v>
      </c>
      <c r="D12" s="7" t="s">
        <v>182</v>
      </c>
      <c r="E12" s="7" t="s">
        <v>182</v>
      </c>
      <c r="F12" s="7" t="s">
        <v>182</v>
      </c>
      <c r="G12" s="7" t="s">
        <v>182</v>
      </c>
      <c r="H12" s="82"/>
      <c r="I12" s="82"/>
      <c r="J12" s="82"/>
      <c r="K12" s="82"/>
      <c r="L12" s="82"/>
      <c r="M12" s="82"/>
    </row>
    <row r="13" spans="1:13" ht="15" customHeight="1" x14ac:dyDescent="0.2">
      <c r="A13" s="82"/>
      <c r="B13" s="8" t="s">
        <v>186</v>
      </c>
      <c r="C13" s="8" t="s">
        <v>186</v>
      </c>
      <c r="D13" s="9" t="s">
        <v>184</v>
      </c>
      <c r="E13" s="9" t="s">
        <v>184</v>
      </c>
      <c r="F13" s="9" t="s">
        <v>184</v>
      </c>
      <c r="G13" s="9" t="s">
        <v>184</v>
      </c>
      <c r="H13" s="82"/>
      <c r="I13" s="82"/>
      <c r="J13" s="82"/>
      <c r="K13" s="82"/>
      <c r="L13" s="82"/>
      <c r="M13" s="82"/>
    </row>
    <row r="14" spans="1:13" ht="15" customHeight="1" x14ac:dyDescent="0.2">
      <c r="A14" s="83" t="s">
        <v>10</v>
      </c>
      <c r="B14" s="4" t="s">
        <v>25</v>
      </c>
      <c r="C14" s="4" t="s">
        <v>25</v>
      </c>
      <c r="D14" s="5" t="s">
        <v>26</v>
      </c>
      <c r="E14" s="5" t="s">
        <v>26</v>
      </c>
      <c r="F14" s="5" t="s">
        <v>27</v>
      </c>
      <c r="G14" s="5" t="s">
        <v>27</v>
      </c>
      <c r="H14" s="82"/>
      <c r="I14" s="82"/>
      <c r="J14" s="82"/>
      <c r="K14" s="82"/>
      <c r="L14" s="82"/>
      <c r="M14" s="82"/>
    </row>
    <row r="15" spans="1:13" ht="15" customHeight="1" x14ac:dyDescent="0.2">
      <c r="A15" s="82"/>
      <c r="B15" s="6" t="s">
        <v>182</v>
      </c>
      <c r="C15" s="6" t="s">
        <v>182</v>
      </c>
      <c r="D15" s="7" t="s">
        <v>182</v>
      </c>
      <c r="E15" s="7" t="s">
        <v>182</v>
      </c>
      <c r="F15" s="7" t="s">
        <v>182</v>
      </c>
      <c r="G15" s="7" t="s">
        <v>182</v>
      </c>
      <c r="H15" s="82"/>
      <c r="I15" s="82"/>
      <c r="J15" s="82"/>
      <c r="K15" s="82"/>
      <c r="L15" s="82"/>
      <c r="M15" s="82"/>
    </row>
    <row r="16" spans="1:13" ht="15" customHeight="1" x14ac:dyDescent="0.2">
      <c r="A16" s="82"/>
      <c r="B16" s="8" t="s">
        <v>187</v>
      </c>
      <c r="C16" s="8" t="s">
        <v>187</v>
      </c>
      <c r="D16" s="9" t="s">
        <v>184</v>
      </c>
      <c r="E16" s="9" t="s">
        <v>184</v>
      </c>
      <c r="F16" s="9" t="s">
        <v>184</v>
      </c>
      <c r="G16" s="9" t="s">
        <v>184</v>
      </c>
      <c r="H16" s="82"/>
      <c r="I16" s="82"/>
      <c r="J16" s="82"/>
      <c r="K16" s="82"/>
      <c r="L16" s="82"/>
      <c r="M16" s="82"/>
    </row>
    <row r="17" spans="1:13" ht="15" customHeight="1" x14ac:dyDescent="0.2">
      <c r="A17" s="83" t="s">
        <v>11</v>
      </c>
      <c r="B17" s="4" t="s">
        <v>28</v>
      </c>
      <c r="C17" s="4" t="s">
        <v>28</v>
      </c>
      <c r="D17" s="5" t="s">
        <v>29</v>
      </c>
      <c r="E17" s="5" t="s">
        <v>29</v>
      </c>
      <c r="F17" s="5" t="s">
        <v>30</v>
      </c>
      <c r="G17" s="5" t="s">
        <v>30</v>
      </c>
      <c r="H17" s="82"/>
      <c r="I17" s="82"/>
      <c r="J17" s="82"/>
      <c r="K17" s="82"/>
      <c r="L17" s="82"/>
      <c r="M17" s="82"/>
    </row>
    <row r="18" spans="1:13" ht="15" customHeight="1" x14ac:dyDescent="0.2">
      <c r="A18" s="82"/>
      <c r="B18" s="6" t="s">
        <v>182</v>
      </c>
      <c r="C18" s="6" t="s">
        <v>182</v>
      </c>
      <c r="D18" s="7" t="s">
        <v>182</v>
      </c>
      <c r="E18" s="7" t="s">
        <v>182</v>
      </c>
      <c r="F18" s="7" t="s">
        <v>182</v>
      </c>
      <c r="G18" s="7" t="s">
        <v>182</v>
      </c>
      <c r="H18" s="82"/>
      <c r="I18" s="82"/>
      <c r="J18" s="82"/>
      <c r="K18" s="82"/>
      <c r="L18" s="82"/>
      <c r="M18" s="82"/>
    </row>
    <row r="19" spans="1:13" ht="15" customHeight="1" x14ac:dyDescent="0.2">
      <c r="A19" s="82"/>
      <c r="B19" s="8" t="s">
        <v>188</v>
      </c>
      <c r="C19" s="8" t="s">
        <v>188</v>
      </c>
      <c r="D19" s="9" t="s">
        <v>184</v>
      </c>
      <c r="E19" s="9" t="s">
        <v>184</v>
      </c>
      <c r="F19" s="9" t="s">
        <v>184</v>
      </c>
      <c r="G19" s="9" t="s">
        <v>184</v>
      </c>
      <c r="H19" s="82"/>
      <c r="I19" s="82"/>
      <c r="J19" s="82"/>
      <c r="K19" s="82"/>
      <c r="L19" s="82"/>
      <c r="M19" s="82"/>
    </row>
    <row r="20" spans="1:13" ht="15" customHeight="1" x14ac:dyDescent="0.2">
      <c r="A20" s="83" t="s">
        <v>12</v>
      </c>
      <c r="B20" s="4" t="s">
        <v>31</v>
      </c>
      <c r="C20" s="4" t="s">
        <v>31</v>
      </c>
      <c r="D20" s="5" t="s">
        <v>32</v>
      </c>
      <c r="E20" s="5" t="s">
        <v>32</v>
      </c>
      <c r="F20" s="5" t="s">
        <v>33</v>
      </c>
      <c r="G20" s="5" t="s">
        <v>33</v>
      </c>
      <c r="H20" s="82"/>
      <c r="I20" s="82"/>
      <c r="J20" s="82"/>
      <c r="K20" s="82"/>
      <c r="L20" s="82"/>
      <c r="M20" s="82"/>
    </row>
    <row r="21" spans="1:13" ht="15" customHeight="1" x14ac:dyDescent="0.2">
      <c r="A21" s="82"/>
      <c r="B21" s="6" t="s">
        <v>182</v>
      </c>
      <c r="C21" s="6" t="s">
        <v>182</v>
      </c>
      <c r="D21" s="7" t="s">
        <v>182</v>
      </c>
      <c r="E21" s="7" t="s">
        <v>182</v>
      </c>
      <c r="F21" s="7" t="s">
        <v>182</v>
      </c>
      <c r="G21" s="7" t="s">
        <v>182</v>
      </c>
      <c r="H21" s="82"/>
      <c r="I21" s="82"/>
      <c r="J21" s="82"/>
      <c r="K21" s="82"/>
      <c r="L21" s="82"/>
      <c r="M21" s="82"/>
    </row>
    <row r="22" spans="1:13" ht="15" customHeight="1" x14ac:dyDescent="0.2">
      <c r="A22" s="82"/>
      <c r="B22" s="8" t="s">
        <v>189</v>
      </c>
      <c r="C22" s="8" t="s">
        <v>189</v>
      </c>
      <c r="D22" s="9" t="s">
        <v>184</v>
      </c>
      <c r="E22" s="9" t="s">
        <v>184</v>
      </c>
      <c r="F22" s="9" t="s">
        <v>184</v>
      </c>
      <c r="G22" s="9" t="s">
        <v>184</v>
      </c>
      <c r="H22" s="82"/>
      <c r="I22" s="82"/>
      <c r="J22" s="82"/>
      <c r="K22" s="82"/>
      <c r="L22" s="82"/>
      <c r="M22" s="82"/>
    </row>
    <row r="23" spans="1:13" ht="15" customHeight="1" x14ac:dyDescent="0.2">
      <c r="A23" s="83" t="s">
        <v>13</v>
      </c>
      <c r="B23" s="4" t="s">
        <v>34</v>
      </c>
      <c r="C23" s="4" t="s">
        <v>34</v>
      </c>
      <c r="D23" s="5" t="s">
        <v>35</v>
      </c>
      <c r="E23" s="5" t="s">
        <v>35</v>
      </c>
      <c r="F23" s="5" t="s">
        <v>36</v>
      </c>
      <c r="G23" s="5" t="s">
        <v>36</v>
      </c>
      <c r="H23" s="82"/>
      <c r="I23" s="82"/>
      <c r="J23" s="82"/>
      <c r="K23" s="82"/>
      <c r="L23" s="82"/>
      <c r="M23" s="82"/>
    </row>
    <row r="24" spans="1:13" ht="15" customHeight="1" x14ac:dyDescent="0.2">
      <c r="A24" s="82"/>
      <c r="B24" s="6" t="s">
        <v>182</v>
      </c>
      <c r="C24" s="6" t="s">
        <v>182</v>
      </c>
      <c r="D24" s="7" t="s">
        <v>182</v>
      </c>
      <c r="E24" s="7" t="s">
        <v>182</v>
      </c>
      <c r="F24" s="7" t="s">
        <v>182</v>
      </c>
      <c r="G24" s="7" t="s">
        <v>182</v>
      </c>
      <c r="H24" s="82"/>
      <c r="I24" s="82"/>
      <c r="J24" s="82"/>
      <c r="K24" s="82"/>
      <c r="L24" s="82"/>
      <c r="M24" s="82"/>
    </row>
    <row r="25" spans="1:13" ht="15" customHeight="1" x14ac:dyDescent="0.2">
      <c r="A25" s="82"/>
      <c r="B25" s="8" t="s">
        <v>190</v>
      </c>
      <c r="C25" s="8" t="s">
        <v>190</v>
      </c>
      <c r="D25" s="9" t="s">
        <v>184</v>
      </c>
      <c r="E25" s="9" t="s">
        <v>184</v>
      </c>
      <c r="F25" s="9" t="s">
        <v>184</v>
      </c>
      <c r="G25" s="9" t="s">
        <v>184</v>
      </c>
      <c r="H25" s="82"/>
      <c r="I25" s="82"/>
      <c r="J25" s="82"/>
      <c r="K25" s="82"/>
      <c r="L25" s="82"/>
      <c r="M25" s="82"/>
    </row>
    <row r="26" spans="1:13" ht="15" customHeight="1" x14ac:dyDescent="0.2">
      <c r="A26" s="83" t="s">
        <v>14</v>
      </c>
      <c r="B26" s="10" t="s">
        <v>37</v>
      </c>
      <c r="C26" s="5" t="s">
        <v>38</v>
      </c>
      <c r="D26" s="5" t="s">
        <v>38</v>
      </c>
      <c r="E26" s="5" t="s">
        <v>39</v>
      </c>
      <c r="F26" s="5" t="s">
        <v>40</v>
      </c>
      <c r="G26" s="5" t="s">
        <v>40</v>
      </c>
      <c r="H26" s="82"/>
      <c r="I26" s="82"/>
      <c r="J26" s="82"/>
      <c r="K26" s="82"/>
      <c r="L26" s="82"/>
      <c r="M26" s="82"/>
    </row>
    <row r="27" spans="1:13" ht="15" customHeight="1" x14ac:dyDescent="0.2">
      <c r="A27" s="82"/>
      <c r="B27" s="11" t="s">
        <v>182</v>
      </c>
      <c r="C27" s="7" t="s">
        <v>182</v>
      </c>
      <c r="D27" s="7" t="s">
        <v>182</v>
      </c>
      <c r="E27" s="7" t="s">
        <v>182</v>
      </c>
      <c r="F27" s="7" t="s">
        <v>182</v>
      </c>
      <c r="G27" s="7" t="s">
        <v>182</v>
      </c>
      <c r="H27" s="82"/>
      <c r="I27" s="82"/>
      <c r="J27" s="82"/>
      <c r="K27" s="82"/>
      <c r="L27" s="82"/>
      <c r="M27" s="82"/>
    </row>
    <row r="28" spans="1:13" ht="15" customHeight="1" x14ac:dyDescent="0.2">
      <c r="A28" s="82"/>
      <c r="B28" s="12"/>
      <c r="C28" s="9" t="s">
        <v>184</v>
      </c>
      <c r="D28" s="9" t="s">
        <v>184</v>
      </c>
      <c r="E28" s="9" t="s">
        <v>184</v>
      </c>
      <c r="F28" s="9" t="s">
        <v>184</v>
      </c>
      <c r="G28" s="9" t="s">
        <v>184</v>
      </c>
      <c r="H28" s="82"/>
      <c r="I28" s="82"/>
      <c r="J28" s="82"/>
      <c r="K28" s="82"/>
      <c r="L28" s="82"/>
      <c r="M28" s="82"/>
    </row>
    <row r="33" spans="1:1" ht="15" customHeight="1" x14ac:dyDescent="0.2">
      <c r="A33" t="s">
        <v>3</v>
      </c>
    </row>
  </sheetData>
  <mergeCells count="56">
    <mergeCell ref="A20:A22"/>
    <mergeCell ref="A23:A25"/>
    <mergeCell ref="A26:A28"/>
    <mergeCell ref="H5:H7"/>
    <mergeCell ref="H8:H10"/>
    <mergeCell ref="H11:H13"/>
    <mergeCell ref="H14:H16"/>
    <mergeCell ref="H17:H19"/>
    <mergeCell ref="H20:H22"/>
    <mergeCell ref="H23:H25"/>
    <mergeCell ref="H26:H28"/>
    <mergeCell ref="A5:A7"/>
    <mergeCell ref="A8:A10"/>
    <mergeCell ref="A11:A13"/>
    <mergeCell ref="A14:A16"/>
    <mergeCell ref="A17:A19"/>
    <mergeCell ref="I20:I22"/>
    <mergeCell ref="I23:I25"/>
    <mergeCell ref="I26:I28"/>
    <mergeCell ref="J5:J7"/>
    <mergeCell ref="J8:J10"/>
    <mergeCell ref="J11:J13"/>
    <mergeCell ref="J14:J16"/>
    <mergeCell ref="J17:J19"/>
    <mergeCell ref="J20:J22"/>
    <mergeCell ref="J23:J25"/>
    <mergeCell ref="J26:J28"/>
    <mergeCell ref="I5:I7"/>
    <mergeCell ref="I8:I10"/>
    <mergeCell ref="I11:I13"/>
    <mergeCell ref="I14:I16"/>
    <mergeCell ref="I17:I19"/>
    <mergeCell ref="K20:K22"/>
    <mergeCell ref="K23:K25"/>
    <mergeCell ref="K26:K28"/>
    <mergeCell ref="L5:L7"/>
    <mergeCell ref="L8:L10"/>
    <mergeCell ref="L11:L13"/>
    <mergeCell ref="L14:L16"/>
    <mergeCell ref="L17:L19"/>
    <mergeCell ref="L20:L22"/>
    <mergeCell ref="L23:L25"/>
    <mergeCell ref="L26:L28"/>
    <mergeCell ref="K5:K7"/>
    <mergeCell ref="K8:K10"/>
    <mergeCell ref="K11:K13"/>
    <mergeCell ref="K14:K16"/>
    <mergeCell ref="K17:K19"/>
    <mergeCell ref="M20:M22"/>
    <mergeCell ref="M23:M25"/>
    <mergeCell ref="M26:M28"/>
    <mergeCell ref="M5:M7"/>
    <mergeCell ref="M8:M10"/>
    <mergeCell ref="M11:M13"/>
    <mergeCell ref="M14:M16"/>
    <mergeCell ref="M17:M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First trial_08_27_26 </vt:lpstr>
      <vt:lpstr>Second trial 09_02_26</vt:lpstr>
      <vt:lpstr>Third trial_09_17_26</vt:lpstr>
      <vt:lpstr>Fourth trial _10_02_26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Afsar, Md Nure Alam</cp:lastModifiedBy>
  <dcterms:created xsi:type="dcterms:W3CDTF">2026-08-31T15:34:40Z</dcterms:created>
  <dcterms:modified xsi:type="dcterms:W3CDTF">2026-10-05T15:47:21Z</dcterms:modified>
</cp:coreProperties>
</file>